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ejja\Desktop\RNW\PROJECTS\excel project\"/>
    </mc:Choice>
  </mc:AlternateContent>
  <xr:revisionPtr revIDLastSave="0" documentId="13_ncr:1_{2051B6C5-C17E-464F-824B-92BF17AFFC55}" xr6:coauthVersionLast="47" xr6:coauthVersionMax="47" xr10:uidLastSave="{00000000-0000-0000-0000-000000000000}"/>
  <bookViews>
    <workbookView xWindow="-108" yWindow="-108" windowWidth="23256" windowHeight="13176" activeTab="3" xr2:uid="{C98B732F-87BB-4E50-BB9D-75A4ECDFF547}"/>
  </bookViews>
  <sheets>
    <sheet name="Scenario Summary " sheetId="3" r:id="rId1"/>
    <sheet name="Regression" sheetId="7" r:id="rId2"/>
    <sheet name="Pivot" sheetId="8" r:id="rId3"/>
    <sheet name="DASHBOARD" sheetId="9" r:id="rId4"/>
    <sheet name="Sheet1" sheetId="1" r:id="rId5"/>
  </sheets>
  <definedNames>
    <definedName name="NativeTimeline_Transaction_Month_End">#N/A</definedName>
    <definedName name="Slicer_Category">#N/A</definedName>
    <definedName name="Slicer_Customer_Segmen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6" i="8" l="1"/>
  <c r="A44" i="8"/>
  <c r="A76" i="8"/>
  <c r="K43" i="8"/>
  <c r="K27" i="8"/>
  <c r="AB34"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V24" i="1"/>
  <c r="V25" i="1"/>
  <c r="V56" i="1"/>
  <c r="V57" i="1"/>
  <c r="V79" i="1"/>
  <c r="V80" i="1"/>
  <c r="V81" i="1"/>
  <c r="V87" i="1"/>
  <c r="V103" i="1"/>
  <c r="V104" i="1"/>
  <c r="V105" i="1"/>
  <c r="V111" i="1"/>
  <c r="V127" i="1"/>
  <c r="V128" i="1"/>
  <c r="V129" i="1"/>
  <c r="V136" i="1"/>
  <c r="V151" i="1"/>
  <c r="V152" i="1"/>
  <c r="V153" i="1"/>
  <c r="V160" i="1"/>
  <c r="V175" i="1"/>
  <c r="V176" i="1"/>
  <c r="V177" i="1"/>
  <c r="V184" i="1"/>
  <c r="V207" i="1"/>
  <c r="V208" i="1"/>
  <c r="V231" i="1"/>
  <c r="V232" i="1"/>
  <c r="U2" i="1"/>
  <c r="V2" i="1" s="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U25" i="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U57" i="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U80" i="1"/>
  <c r="U81" i="1"/>
  <c r="U82" i="1"/>
  <c r="V82" i="1" s="1"/>
  <c r="U83" i="1"/>
  <c r="V83" i="1" s="1"/>
  <c r="U84" i="1"/>
  <c r="V84" i="1" s="1"/>
  <c r="U85" i="1"/>
  <c r="V85" i="1" s="1"/>
  <c r="U86" i="1"/>
  <c r="V86" i="1" s="1"/>
  <c r="U87" i="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U104" i="1"/>
  <c r="U105" i="1"/>
  <c r="U106" i="1"/>
  <c r="V106" i="1" s="1"/>
  <c r="U107" i="1"/>
  <c r="V107" i="1" s="1"/>
  <c r="U108" i="1"/>
  <c r="V108" i="1" s="1"/>
  <c r="U109" i="1"/>
  <c r="V109" i="1" s="1"/>
  <c r="U110" i="1"/>
  <c r="V110" i="1" s="1"/>
  <c r="U111" i="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V126" i="1" s="1"/>
  <c r="U127" i="1"/>
  <c r="U128" i="1"/>
  <c r="U129" i="1"/>
  <c r="U130" i="1"/>
  <c r="V130" i="1" s="1"/>
  <c r="U131" i="1"/>
  <c r="V131" i="1" s="1"/>
  <c r="U132" i="1"/>
  <c r="V132" i="1" s="1"/>
  <c r="U133" i="1"/>
  <c r="V133" i="1" s="1"/>
  <c r="U134" i="1"/>
  <c r="V134" i="1" s="1"/>
  <c r="U135" i="1"/>
  <c r="V135" i="1" s="1"/>
  <c r="U136" i="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U152" i="1"/>
  <c r="U153" i="1"/>
  <c r="U154" i="1"/>
  <c r="V154" i="1" s="1"/>
  <c r="U155" i="1"/>
  <c r="V155" i="1" s="1"/>
  <c r="U156" i="1"/>
  <c r="V156" i="1" s="1"/>
  <c r="U157" i="1"/>
  <c r="V157" i="1" s="1"/>
  <c r="U158" i="1"/>
  <c r="V158" i="1" s="1"/>
  <c r="U159" i="1"/>
  <c r="V159" i="1" s="1"/>
  <c r="U160" i="1"/>
  <c r="U161" i="1"/>
  <c r="V161" i="1" s="1"/>
  <c r="U162" i="1"/>
  <c r="V162" i="1" s="1"/>
  <c r="U163" i="1"/>
  <c r="V163" i="1" s="1"/>
  <c r="U164" i="1"/>
  <c r="V164" i="1" s="1"/>
  <c r="U165" i="1"/>
  <c r="V165" i="1" s="1"/>
  <c r="U166" i="1"/>
  <c r="V166" i="1" s="1"/>
  <c r="U167" i="1"/>
  <c r="V167" i="1" s="1"/>
  <c r="U168" i="1"/>
  <c r="V168" i="1" s="1"/>
  <c r="U169" i="1"/>
  <c r="V169" i="1" s="1"/>
  <c r="U170" i="1"/>
  <c r="V170" i="1" s="1"/>
  <c r="U171" i="1"/>
  <c r="V171" i="1" s="1"/>
  <c r="U172" i="1"/>
  <c r="V172" i="1" s="1"/>
  <c r="U173" i="1"/>
  <c r="V173" i="1" s="1"/>
  <c r="U174" i="1"/>
  <c r="V174" i="1" s="1"/>
  <c r="U175" i="1"/>
  <c r="U176" i="1"/>
  <c r="U177" i="1"/>
  <c r="U178" i="1"/>
  <c r="V178" i="1" s="1"/>
  <c r="U179" i="1"/>
  <c r="V179" i="1" s="1"/>
  <c r="U180" i="1"/>
  <c r="V180" i="1" s="1"/>
  <c r="U181" i="1"/>
  <c r="V181" i="1" s="1"/>
  <c r="U182" i="1"/>
  <c r="V182" i="1" s="1"/>
  <c r="U183" i="1"/>
  <c r="V183" i="1" s="1"/>
  <c r="U184" i="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V197" i="1" s="1"/>
  <c r="U198" i="1"/>
  <c r="V198" i="1" s="1"/>
  <c r="U199" i="1"/>
  <c r="V199" i="1" s="1"/>
  <c r="U200" i="1"/>
  <c r="V200" i="1" s="1"/>
  <c r="U201" i="1"/>
  <c r="V201" i="1" s="1"/>
  <c r="U202" i="1"/>
  <c r="V202" i="1" s="1"/>
  <c r="U203" i="1"/>
  <c r="V203" i="1" s="1"/>
  <c r="U204" i="1"/>
  <c r="V204" i="1" s="1"/>
  <c r="U205" i="1"/>
  <c r="V205" i="1" s="1"/>
  <c r="U206" i="1"/>
  <c r="V206" i="1" s="1"/>
  <c r="U207" i="1"/>
  <c r="U208" i="1"/>
  <c r="U209" i="1"/>
  <c r="V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U232" i="1"/>
  <c r="U233" i="1"/>
  <c r="V233" i="1" s="1"/>
  <c r="U234" i="1"/>
  <c r="V234" i="1" s="1"/>
  <c r="U235" i="1"/>
  <c r="V235" i="1" s="1"/>
  <c r="U236" i="1"/>
  <c r="V236" i="1" s="1"/>
  <c r="U237" i="1"/>
  <c r="V237" i="1" s="1"/>
  <c r="U238" i="1"/>
  <c r="V238" i="1" s="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AB12" i="1" l="1" a="1"/>
  <c r="AB12" i="1" s="1"/>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AC2" i="1" a="1"/>
  <c r="AC2" i="1" s="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 r="P2" i="1"/>
  <c r="Q2" i="1" s="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T252" i="1" l="1"/>
  <c r="AC9" i="1" s="1"/>
  <c r="O25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<sst xmlns="http://schemas.openxmlformats.org/spreadsheetml/2006/main" count="2388" uniqueCount="472">
  <si>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</si>
  <si>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</si>
  <si>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</si>
  <si>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</si>
  <si>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</si>
  <si>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</si>
  <si>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</si>
  <si>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</si>
  <si>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</si>
  <si>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</si>
  <si>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</si>
  <si>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</si>
  <si>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</si>
  <si>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</si>
  <si>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</si>
  <si>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</si>
  <si>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</si>
  <si>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</si>
  <si>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</si>
  <si>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</si>
  <si>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</si>
  <si>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</si>
  <si>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</si>
  <si>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</si>
  <si>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</si>
  <si>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</si>
  <si>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</si>
  <si>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</si>
  <si>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</si>
  <si>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</si>
  <si>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</si>
  <si>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</si>
  <si>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</si>
  <si>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</si>
  <si>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</si>
  <si>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</si>
  <si>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</si>
  <si>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</si>
  <si>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</si>
  <si>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</si>
  <si>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</si>
  <si>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</si>
  <si>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</si>
  <si>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</si>
  <si>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</si>
  <si>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</si>
  <si>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</si>
  <si>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</si>
  <si>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</si>
  <si>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</si>
  <si>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</si>
  <si>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</si>
  <si>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</si>
  <si>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</si>
  <si>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</si>
  <si>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</si>
  <si>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</si>
  <si>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</si>
  <si>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</si>
  <si>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</si>
  <si>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</si>
  <si>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</si>
  <si>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</si>
  <si>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</si>
  <si>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</si>
  <si>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</si>
  <si>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</si>
  <si>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</si>
  <si>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</si>
  <si>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</si>
  <si>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</si>
  <si>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</si>
  <si>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</si>
  <si>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</si>
  <si>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</si>
  <si>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</si>
  <si>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</si>
  <si>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</si>
  <si>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</si>
  <si>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</si>
  <si>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</si>
  <si>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</si>
  <si>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</si>
  <si>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</si>
  <si>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</si>
  <si>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</si>
  <si>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</si>
  <si>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</si>
  <si>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</si>
  <si>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</si>
  <si>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</si>
  <si>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</si>
  <si>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</si>
  <si>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</si>
  <si>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</si>
  <si>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</si>
  <si>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</si>
  <si>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</si>
  <si>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</si>
  <si>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</si>
  <si>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</si>
  <si>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</si>
  <si>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</si>
  <si>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</si>
  <si>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</si>
  <si>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</si>
  <si>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</si>
  <si>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</si>
  <si>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</si>
  <si>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</si>
  <si>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</si>
  <si>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</si>
  <si>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</si>
  <si>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</si>
  <si>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</si>
  <si>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</si>
  <si>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</si>
  <si>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</si>
  <si>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</si>
  <si>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</si>
  <si>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</si>
  <si>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</si>
  <si>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</si>
  <si>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</si>
  <si>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</si>
  <si>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</si>
  <si>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</si>
  <si>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</si>
  <si>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</si>
  <si>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</si>
  <si>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</si>
  <si>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</si>
  <si>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</si>
  <si>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</si>
  <si>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</si>
  <si>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</si>
  <si>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</si>
  <si>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</si>
  <si>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</si>
  <si>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</si>
  <si>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</si>
  <si>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</si>
  <si>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</si>
  <si>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</si>
  <si>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</si>
  <si>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</si>
  <si>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</si>
  <si>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</si>
  <si>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</si>
  <si>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</si>
  <si>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</si>
  <si>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</si>
  <si>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</si>
  <si>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</si>
  <si>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</si>
  <si>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</si>
  <si>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</si>
  <si>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</si>
  <si>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</si>
  <si>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</si>
  <si>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</si>
  <si>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</si>
  <si>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</si>
  <si>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</si>
  <si>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</si>
  <si>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</si>
  <si>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</si>
  <si>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</si>
  <si>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</si>
  <si>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</si>
  <si>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</si>
  <si>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</si>
  <si>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</si>
  <si>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</si>
  <si>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</si>
  <si>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</si>
  <si>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</si>
  <si>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</si>
  <si>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</si>
  <si>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</si>
  <si>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</si>
  <si>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</si>
  <si>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</si>
  <si>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</si>
  <si>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</si>
  <si>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</si>
  <si>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</si>
  <si>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</si>
  <si>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</si>
  <si>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</si>
  <si>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</si>
  <si>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</si>
  <si>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</si>
  <si>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</si>
  <si>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</si>
  <si>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</si>
  <si>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</si>
  <si>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</si>
  <si>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</si>
  <si>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</si>
  <si>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</si>
  <si>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</si>
  <si>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</si>
  <si>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</si>
  <si>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</si>
  <si>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</si>
  <si>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</si>
  <si>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</si>
  <si>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</si>
  <si>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</si>
  <si>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</si>
  <si>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</si>
  <si>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</si>
  <si>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</si>
  <si>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</si>
  <si>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</si>
  <si>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</si>
  <si>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</si>
  <si>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</si>
  <si>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</si>
  <si>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</si>
  <si>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</si>
  <si>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</si>
  <si>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</si>
  <si>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</si>
  <si>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</si>
  <si>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</si>
  <si>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</si>
  <si>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</si>
  <si>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</si>
  <si>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</si>
  <si>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</si>
  <si>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</si>
  <si>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</si>
  <si>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</si>
  <si>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</si>
  <si>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</si>
  <si>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</si>
  <si>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</si>
  <si>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</si>
  <si>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</si>
  <si>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</si>
  <si>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</si>
  <si>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</si>
  <si>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</si>
  <si>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</si>
  <si>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</si>
  <si>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</si>
  <si>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</si>
  <si>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</si>
  <si>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</si>
  <si>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</si>
  <si>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</si>
  <si>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</si>
  <si>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</si>
  <si>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</si>
  <si>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</si>
  <si>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</si>
  <si>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</si>
  <si>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</si>
  <si>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</si>
  <si>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</si>
  <si>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</si>
  <si>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</si>
  <si>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</si>
  <si>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</si>
  <si>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</si>
  <si>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</si>
  <si>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</si>
  <si>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</si>
  <si>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</si>
  <si>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</si>
  <si>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</si>
  <si>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</si>
  <si>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</si>
  <si>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</si>
  <si>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</si>
  <si>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</si>
  <si>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</si>
  <si>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</si>
  <si>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</si>
  <si>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</si>
  <si>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</si>
  <si>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</si>
  <si>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</si>
  <si>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</si>
  <si>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</si>
  <si>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</si>
  <si>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</si>
  <si>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</si>
  <si>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</si>
  <si>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</si>
  <si>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</si>
  <si>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</si>
  <si>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</si>
  <si>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</si>
  <si>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</si>
  <si>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</si>
  <si>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</si>
  <si>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</si>
  <si>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</si>
  <si>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</si>
  <si>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</si>
  <si>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</si>
  <si>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</si>
  <si>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</si>
  <si>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</si>
  <si>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</si>
  <si>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</si>
  <si>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</si>
  <si>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</si>
  <si>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</si>
  <si>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</si>
  <si>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</si>
  <si>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</si>
  <si>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</si>
  <si>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</si>
  <si>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</si>
  <si>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</si>
  <si>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</si>
  <si>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</si>
  <si>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</si>
  <si>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</si>
  <si>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</si>
  <si>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</si>
  <si>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</si>
  <si>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</si>
  <si>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</si>
  <si>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</si>
  <si>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</si>
  <si>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</si>
  <si>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</si>
  <si>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</si>
  <si>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</si>
  <si>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</si>
  <si>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</si>
  <si>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</si>
  <si>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</si>
  <si>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</si>
  <si>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</si>
  <si>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</si>
  <si>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</si>
  <si>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</si>
  <si>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</si>
  <si>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</si>
  <si>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</si>
  <si>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</si>
  <si>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</si>
  <si>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</si>
  <si>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</si>
  <si>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</si>
  <si>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</si>
  <si>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</si>
  <si>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</si>
  <si>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</si>
  <si>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</si>
  <si>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</si>
  <si>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</si>
  <si>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</si>
  <si>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</si>
  <si>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</si>
  <si>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</si>
  <si>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</si>
  <si>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</si>
  <si>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</si>
  <si>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</si>
  <si>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</si>
  <si>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</si>
  <si>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</si>
  <si>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</si>
  <si>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</si>
  <si>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</si>
  <si>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</si>
  <si>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</si>
  <si>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</si>
  <si>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</si>
  <si>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</si>
  <si>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</si>
  <si>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</si>
  <si>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</si>
  <si>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</si>
  <si>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</si>
  <si>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</si>
  <si>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</si>
  <si>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</si>
  <si>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</si>
  <si>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</si>
  <si>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</si>
  <si>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</si>
  <si>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</si>
  <si>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</si>
  <si>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</si>
  <si>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</si>
  <si>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</si>
  <si>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</si>
  <si>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</si>
  <si>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</si>
  <si>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</si>
  <si>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</si>
  <si>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 Tenure</t>
  </si>
  <si>
    <t>Months_Since_Purchase</t>
  </si>
  <si>
    <t>customer status</t>
  </si>
  <si>
    <t>Transaction_Month_End</t>
  </si>
  <si>
    <t>cust013</t>
  </si>
  <si>
    <t>enter customer id below</t>
  </si>
  <si>
    <t>Sales_Status</t>
  </si>
  <si>
    <t>Discount</t>
  </si>
  <si>
    <t>Profit</t>
  </si>
  <si>
    <t>$Z$17</t>
  </si>
  <si>
    <t>No Discount</t>
  </si>
  <si>
    <t>Created by TEJ JASANI on 27-02-2026
Modified by TEJ JASANI on 27-02-2026</t>
  </si>
  <si>
    <t>10% Discount</t>
  </si>
  <si>
    <t>Created by TEJ JASANI on 27-02-2026</t>
  </si>
  <si>
    <t>20% Discount</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</si>
  <si>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</si>
  <si>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</si>
  <si>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</si>
  <si>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</si>
  <si>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</si>
  <si>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</si>
  <si>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</si>
  <si>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Total Profit</t>
  </si>
  <si>
    <t>$Z$18</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</si>
  <si>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</si>
  <si>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</si>
  <si>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</si>
  <si>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</si>
  <si>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</si>
  <si>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</si>
  <si>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</si>
  <si>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</si>
  <si>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</si>
  <si>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</si>
  <si>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</si>
  <si>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</si>
  <si>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</si>
  <si>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</si>
  <si>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</si>
  <si>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</si>
  <si>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</si>
  <si>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</si>
  <si>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</si>
  <si>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</si>
  <si>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</si>
  <si>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</si>
  <si>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</si>
  <si>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</si>
  <si>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</si>
  <si>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Customer_Total_Spend</t>
  </si>
  <si>
    <t>High_Value_Customer</t>
  </si>
  <si>
    <t>High value customer</t>
  </si>
  <si>
    <t>Product_Count</t>
  </si>
  <si>
    <t>Top Product</t>
  </si>
  <si>
    <t>Row Labels</t>
  </si>
  <si>
    <t>Sum of Profit</t>
  </si>
  <si>
    <t>Grand Total</t>
  </si>
  <si>
    <t>Sum of Total_Amount</t>
  </si>
  <si>
    <t>Apr</t>
  </si>
  <si>
    <t>May</t>
  </si>
  <si>
    <t>Jun</t>
  </si>
  <si>
    <t>Jul</t>
  </si>
  <si>
    <t>Aug</t>
  </si>
  <si>
    <t>Sep</t>
  </si>
  <si>
    <t>Oct</t>
  </si>
  <si>
    <t>Nov</t>
  </si>
  <si>
    <t>Dec</t>
  </si>
  <si>
    <t>Column Labels</t>
  </si>
  <si>
    <t>Average of Total_Amount</t>
  </si>
  <si>
    <t>Average of Profit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</si>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</sst>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mmm/yyyy"/>
    <numFmt numFmtId="166" formatCode="0.00;[Red]0.00"/>
  </numFmts>
  <fonts count="11" x14ac:knownFonts="1">
    <font>
      <sz val="11"/>
      <color theme="1"/>
      <name val="Corbel"/>
      <family val="2"/>
      <scheme val="minor"/>
    </font>
    <font>
      <b/>
      <sz val="10"/>
      <color theme="1"/>
      <name val="Arial"/>
      <family val="2"/>
    </font>
    <font>
      <sz val="10"/>
      <color theme="1"/>
      <name val="Arial"/>
      <family val="2"/>
    </font>
    <font>
      <sz val="16"/>
      <color rgb="FFFFFF00"/>
      <name val="Corbel"/>
      <family val="2"/>
      <scheme val="minor"/>
    </font>
    <font>
      <b/>
      <sz val="12"/>
      <color indexed="9"/>
      <name val="Corbel"/>
      <family val="2"/>
      <scheme val="minor"/>
    </font>
    <font>
      <b/>
      <sz val="11"/>
      <color indexed="8"/>
      <name val="Corbel"/>
      <family val="2"/>
      <scheme val="minor"/>
    </font>
    <font>
      <b/>
      <sz val="11"/>
      <color indexed="18"/>
      <name val="Corbel"/>
      <family val="2"/>
      <scheme val="minor"/>
    </font>
    <font>
      <sz val="10"/>
      <color indexed="9"/>
      <name val="Corbel"/>
      <family val="2"/>
      <scheme val="minor"/>
    </font>
    <font>
      <sz val="8"/>
      <color theme="1"/>
      <name val="Corbel"/>
      <family val="2"/>
      <scheme val="minor"/>
    </font>
    <font>
      <i/>
      <sz val="11"/>
      <color theme="1"/>
      <name val="Corbel"/>
      <family val="2"/>
      <scheme val="minor"/>
    </font>
    <font>
      <b/>
      <sz val="11"/>
      <color rgb="FFFF0000"/>
      <name val="Corbel"/>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tint="-0.89999084444715716"/>
        <bgColor indexed="64"/>
      </patternFill>
    </fill>
    <fill>
      <patternFill patternType="solid">
        <fgColor theme="5" tint="-0.249977111117893"/>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rgb="FFCCCCCC"/>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50">
    <xf numFmtId="0" fontId="0" fillId="0" borderId="0" xfId="0"/>
    <xf numFmtId="0" fontId="1" fillId="0" borderId="4" xfId="0" applyFont="1" applyBorder="1" applyAlignment="1">
      <alignment wrapText="1"/>
    </xf>
    <xf numFmtId="0" fontId="1" fillId="0" borderId="5" xfId="0" applyFont="1" applyBorder="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164" fontId="1" fillId="0" borderId="5" xfId="0" applyNumberFormat="1" applyFont="1" applyBorder="1" applyAlignment="1">
      <alignment wrapText="1"/>
    </xf>
    <xf numFmtId="164" fontId="2" fillId="0" borderId="1"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164" fontId="0" fillId="0" borderId="0" xfId="0" applyNumberFormat="1"/>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2" fillId="0" borderId="0" xfId="0" applyNumberFormat="1" applyFont="1" applyAlignment="1">
      <alignment horizontal="center" vertical="center" wrapText="1"/>
    </xf>
    <xf numFmtId="165" fontId="2" fillId="0" borderId="0" xfId="0" applyNumberFormat="1" applyFont="1" applyAlignment="1">
      <alignment horizontal="center" vertical="center" wrapText="1"/>
    </xf>
    <xf numFmtId="0" fontId="3" fillId="2" borderId="0" xfId="0" applyFont="1" applyFill="1"/>
    <xf numFmtId="9" fontId="0" fillId="0" borderId="0" xfId="0" applyNumberFormat="1"/>
    <xf numFmtId="0" fontId="2" fillId="0" borderId="8" xfId="0" applyNumberFormat="1" applyFont="1" applyBorder="1" applyAlignment="1">
      <alignment horizontal="center" vertical="center" wrapText="1"/>
    </xf>
    <xf numFmtId="0" fontId="2" fillId="0" borderId="0" xfId="0" applyNumberFormat="1" applyFont="1" applyBorder="1" applyAlignment="1">
      <alignment horizontal="center" vertical="center" wrapText="1"/>
    </xf>
    <xf numFmtId="0" fontId="0" fillId="0" borderId="0" xfId="0" applyFill="1" applyBorder="1" applyAlignment="1"/>
    <xf numFmtId="9" fontId="0" fillId="0" borderId="0" xfId="0" applyNumberFormat="1" applyFill="1" applyBorder="1" applyAlignment="1"/>
    <xf numFmtId="0" fontId="0" fillId="0" borderId="12" xfId="0" applyFill="1" applyBorder="1" applyAlignment="1"/>
    <xf numFmtId="0" fontId="4" fillId="3" borderId="13" xfId="0" applyFont="1" applyFill="1" applyBorder="1" applyAlignment="1">
      <alignment horizontal="left"/>
    </xf>
    <xf numFmtId="0" fontId="4" fillId="3" borderId="11" xfId="0" applyFont="1" applyFill="1" applyBorder="1" applyAlignment="1">
      <alignment horizontal="left"/>
    </xf>
    <xf numFmtId="0" fontId="0" fillId="0" borderId="14" xfId="0" applyFill="1" applyBorder="1" applyAlignment="1"/>
    <xf numFmtId="0" fontId="5" fillId="4" borderId="0" xfId="0" applyFont="1" applyFill="1" applyBorder="1" applyAlignment="1">
      <alignment horizontal="left"/>
    </xf>
    <xf numFmtId="0" fontId="6" fillId="4" borderId="14" xfId="0" applyFont="1" applyFill="1" applyBorder="1" applyAlignment="1">
      <alignment horizontal="left"/>
    </xf>
    <xf numFmtId="0" fontId="5" fillId="4" borderId="12" xfId="0" applyFont="1" applyFill="1" applyBorder="1" applyAlignment="1">
      <alignment horizontal="left"/>
    </xf>
    <xf numFmtId="0" fontId="7" fillId="3" borderId="11" xfId="0" applyFont="1" applyFill="1" applyBorder="1" applyAlignment="1">
      <alignment horizontal="right"/>
    </xf>
    <xf numFmtId="0" fontId="7" fillId="3" borderId="13" xfId="0" applyFont="1" applyFill="1" applyBorder="1" applyAlignment="1">
      <alignment horizontal="right"/>
    </xf>
    <xf numFmtId="9" fontId="0" fillId="5" borderId="0" xfId="0" applyNumberFormat="1" applyFill="1" applyBorder="1" applyAlignment="1"/>
    <xf numFmtId="0" fontId="8" fillId="0" borderId="0" xfId="0" applyFont="1" applyFill="1" applyBorder="1" applyAlignment="1">
      <alignment vertical="top" wrapText="1"/>
    </xf>
    <xf numFmtId="0" fontId="2" fillId="0" borderId="10" xfId="0" applyFont="1" applyBorder="1" applyAlignment="1">
      <alignment horizontal="center" vertical="center" wrapText="1"/>
    </xf>
    <xf numFmtId="166" fontId="1" fillId="0" borderId="6" xfId="0" applyNumberFormat="1" applyFont="1" applyBorder="1" applyAlignment="1">
      <alignment wrapText="1"/>
    </xf>
    <xf numFmtId="166" fontId="2" fillId="0" borderId="3" xfId="0" applyNumberFormat="1" applyFont="1" applyBorder="1" applyAlignment="1">
      <alignment horizontal="center" vertical="center" wrapText="1"/>
    </xf>
    <xf numFmtId="166" fontId="2" fillId="0" borderId="9" xfId="0" applyNumberFormat="1" applyFont="1" applyBorder="1" applyAlignment="1">
      <alignment horizontal="center" vertical="center" wrapText="1"/>
    </xf>
    <xf numFmtId="166" fontId="0" fillId="0" borderId="0" xfId="0" applyNumberFormat="1"/>
    <xf numFmtId="166" fontId="1" fillId="0" borderId="5" xfId="0" applyNumberFormat="1" applyFont="1" applyBorder="1" applyAlignment="1">
      <alignment wrapText="1"/>
    </xf>
    <xf numFmtId="166" fontId="2" fillId="0" borderId="1" xfId="0" applyNumberFormat="1" applyFont="1" applyBorder="1" applyAlignment="1">
      <alignment horizontal="center" vertical="center" wrapText="1"/>
    </xf>
    <xf numFmtId="166" fontId="2" fillId="0" borderId="8" xfId="0" applyNumberFormat="1" applyFont="1" applyBorder="1" applyAlignment="1">
      <alignment horizontal="center" vertical="center" wrapText="1"/>
    </xf>
    <xf numFmtId="0" fontId="2" fillId="0" borderId="9" xfId="0" applyNumberFormat="1" applyFont="1" applyBorder="1" applyAlignment="1">
      <alignment horizontal="center" vertical="center" wrapText="1"/>
    </xf>
    <xf numFmtId="0" fontId="9" fillId="0" borderId="15" xfId="0" applyFont="1" applyFill="1" applyBorder="1" applyAlignment="1">
      <alignment horizontal="center"/>
    </xf>
    <xf numFmtId="0" fontId="9" fillId="0" borderId="15" xfId="0" applyFont="1" applyFill="1" applyBorder="1" applyAlignment="1">
      <alignment horizontal="centerContinuous"/>
    </xf>
    <xf numFmtId="0" fontId="10" fillId="6" borderId="0" xfId="0" applyFont="1" applyFill="1"/>
    <xf numFmtId="0" fontId="0" fillId="0" borderId="0" xfId="0" pivotButton="1"/>
    <xf numFmtId="165" fontId="0" fillId="0" borderId="0" xfId="0" applyNumberFormat="1" applyAlignment="1">
      <alignment horizontal="left"/>
    </xf>
    <xf numFmtId="0" fontId="0" fillId="0" borderId="0" xfId="0" applyAlignment="1">
      <alignment horizontal="left"/>
    </xf>
    <xf numFmtId="0" fontId="0" fillId="0" borderId="0" xfId="0" applyNumberFormat="1"/>
    <xf numFmtId="0" fontId="0" fillId="7" borderId="0" xfId="0" applyFill="1"/>
    <xf numFmtId="2" fontId="0" fillId="0" borderId="0" xfId="0" applyNumberFormat="1"/>
  </cellXfs>
  <cellStyles count="1">
    <cellStyle name="Normal" xfId="0" builtinId="0"/>
  </cellStyles>
  <dxfs count="64">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Arial"/>
        <family val="2"/>
        <scheme val="none"/>
      </font>
      <numFmt numFmtId="166" formatCode="0.00;[Red]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64" formatCode="[$-14009]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64" formatCode="[$-14009]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66" formatCode="0.00;[Red]0.00"/>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64" formatCode="[$-14009]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64" formatCode="[$-14009]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166" formatCode="0.00;[Red]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a:t>
            </a:r>
            <a:r>
              <a:rPr lang="en-IN" b="1" baseline="0"/>
              <a:t> WISE SALE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Sum of Profit</c:v>
                </c:pt>
              </c:strCache>
            </c:strRef>
          </c:tx>
          <c:spPr>
            <a:ln w="28575" cap="rnd">
              <a:solidFill>
                <a:schemeClr val="accent1"/>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4020.5334843679666</c:v>
                </c:pt>
                <c:pt idx="1">
                  <c:v>1795.3971175405557</c:v>
                </c:pt>
                <c:pt idx="2">
                  <c:v>3427.1828389475472</c:v>
                </c:pt>
                <c:pt idx="3">
                  <c:v>5222.5843196331916</c:v>
                </c:pt>
                <c:pt idx="4">
                  <c:v>2218.6003754835419</c:v>
                </c:pt>
                <c:pt idx="5">
                  <c:v>3872.1996407648153</c:v>
                </c:pt>
                <c:pt idx="6">
                  <c:v>3150.1209442003069</c:v>
                </c:pt>
                <c:pt idx="7">
                  <c:v>2371.3017273211476</c:v>
                </c:pt>
                <c:pt idx="8">
                  <c:v>2024.4447821518756</c:v>
                </c:pt>
                <c:pt idx="9">
                  <c:v>3913.6626085490534</c:v>
                </c:pt>
                <c:pt idx="10">
                  <c:v>1738.656597225905</c:v>
                </c:pt>
                <c:pt idx="11">
                  <c:v>3715.1438701280222</c:v>
                </c:pt>
              </c:numCache>
            </c:numRef>
          </c:val>
          <c:smooth val="0"/>
          <c:extLst>
            <c:ext xmlns:c16="http://schemas.microsoft.com/office/drawing/2014/chart" uri="{C3380CC4-5D6E-409C-BE32-E72D297353CC}">
              <c16:uniqueId val="{00000000-6C47-4B38-B8C2-39F2062A9C96}"/>
            </c:ext>
          </c:extLst>
        </c:ser>
        <c:ser>
          <c:idx val="1"/>
          <c:order val="1"/>
          <c:tx>
            <c:strRef>
              <c:f>Pivot!$C$3</c:f>
              <c:strCache>
                <c:ptCount val="1"/>
                <c:pt idx="0">
                  <c:v>Sum of Total_Amount</c:v>
                </c:pt>
              </c:strCache>
            </c:strRef>
          </c:tx>
          <c:spPr>
            <a:ln w="28575" cap="rnd">
              <a:solidFill>
                <a:schemeClr val="accent2"/>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General</c:formatCode>
                <c:ptCount val="12"/>
                <c:pt idx="0">
                  <c:v>18429.52</c:v>
                </c:pt>
                <c:pt idx="1">
                  <c:v>8229.83</c:v>
                </c:pt>
                <c:pt idx="2">
                  <c:v>15709.689999999999</c:v>
                </c:pt>
                <c:pt idx="3">
                  <c:v>23939.539999999997</c:v>
                </c:pt>
                <c:pt idx="4">
                  <c:v>10169.729999999998</c:v>
                </c:pt>
                <c:pt idx="5">
                  <c:v>17749.579999999998</c:v>
                </c:pt>
                <c:pt idx="6">
                  <c:v>14439.679999999997</c:v>
                </c:pt>
                <c:pt idx="7">
                  <c:v>10869.689999999999</c:v>
                </c:pt>
                <c:pt idx="8">
                  <c:v>9279.75</c:v>
                </c:pt>
                <c:pt idx="9">
                  <c:v>17939.64</c:v>
                </c:pt>
                <c:pt idx="10">
                  <c:v>7969.74</c:v>
                </c:pt>
                <c:pt idx="11">
                  <c:v>17029.66</c:v>
                </c:pt>
              </c:numCache>
            </c:numRef>
          </c:val>
          <c:smooth val="0"/>
          <c:extLst>
            <c:ext xmlns:c16="http://schemas.microsoft.com/office/drawing/2014/chart" uri="{C3380CC4-5D6E-409C-BE32-E72D297353CC}">
              <c16:uniqueId val="{00000003-6C47-4B38-B8C2-39F2062A9C96}"/>
            </c:ext>
          </c:extLst>
        </c:ser>
        <c:dLbls>
          <c:showLegendKey val="0"/>
          <c:showVal val="0"/>
          <c:showCatName val="0"/>
          <c:showSerName val="0"/>
          <c:showPercent val="0"/>
          <c:showBubbleSize val="0"/>
        </c:dLbls>
        <c:smooth val="0"/>
        <c:axId val="890380479"/>
        <c:axId val="890384223"/>
      </c:lineChart>
      <c:catAx>
        <c:axId val="89038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84223"/>
        <c:crosses val="autoZero"/>
        <c:auto val="1"/>
        <c:lblAlgn val="ctr"/>
        <c:lblOffset val="100"/>
        <c:noMultiLvlLbl val="0"/>
      </c:catAx>
      <c:valAx>
        <c:axId val="89038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8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CATEGORY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2.9481408573928208E-2"/>
              <c:y val="6.49369349664625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1.5363517060367466E-2"/>
              <c:y val="5.94714202391367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663-4828-BD9A-2CD2DA1D40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81-47AF-8D26-1DE46254168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63-4828-BD9A-2CD2DA1D40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Pivot!$A$20:$A$21</c:f>
              <c:strCache>
                <c:ptCount val="1"/>
                <c:pt idx="0">
                  <c:v>Electronics</c:v>
                </c:pt>
              </c:strCache>
            </c:strRef>
          </c:cat>
          <c:val>
            <c:numRef>
              <c:f>Pivot!$B$20:$B$21</c:f>
              <c:numCache>
                <c:formatCode>General</c:formatCode>
                <c:ptCount val="1"/>
                <c:pt idx="0">
                  <c:v>171756.0500000001</c:v>
                </c:pt>
              </c:numCache>
            </c:numRef>
          </c:val>
          <c:extLst>
            <c:ext xmlns:c16="http://schemas.microsoft.com/office/drawing/2014/chart" uri="{C3380CC4-5D6E-409C-BE32-E72D297353CC}">
              <c16:uniqueId val="{00000000-E663-4828-BD9A-2CD2DA1D402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dLbls>
          <c:showLegendKey val="0"/>
          <c:showVal val="0"/>
          <c:showCatName val="0"/>
          <c:showSerName val="0"/>
          <c:showPercent val="0"/>
          <c:showBubbleSize val="0"/>
        </c:dLbls>
        <c:gapWidth val="150"/>
        <c:shape val="box"/>
        <c:axId val="582091919"/>
        <c:axId val="582090255"/>
        <c:axId val="0"/>
      </c:bar3DChart>
      <c:catAx>
        <c:axId val="582091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90255"/>
        <c:crosses val="autoZero"/>
        <c:auto val="1"/>
        <c:lblAlgn val="ctr"/>
        <c:lblOffset val="100"/>
        <c:noMultiLvlLbl val="0"/>
      </c:catAx>
      <c:valAx>
        <c:axId val="58209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Pivot!$L$19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927-4828-B456-50ED4E145A3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927-4828-B456-50ED4E145A3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927-4828-B456-50ED4E145A3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927-4828-B456-50ED4E145A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Pivot!$K$20:$K$24</c:f>
              <c:strCache>
                <c:ptCount val="4"/>
                <c:pt idx="0">
                  <c:v>Cash</c:v>
                </c:pt>
                <c:pt idx="1">
                  <c:v>Credit Card</c:v>
                </c:pt>
                <c:pt idx="2">
                  <c:v>Debit Card</c:v>
                </c:pt>
                <c:pt idx="3">
                  <c:v>PayPal</c:v>
                </c:pt>
              </c:strCache>
            </c:strRef>
          </c:cat>
          <c:val>
            <c:numRef>
              <c:f>Pivot!$L$20:$L$24</c:f>
              <c:numCache>
                <c:formatCode>General</c:formatCode>
                <c:ptCount val="4"/>
                <c:pt idx="0">
                  <c:v>35889.140000000007</c:v>
                </c:pt>
                <c:pt idx="1">
                  <c:v>45728.799999999996</c:v>
                </c:pt>
                <c:pt idx="2">
                  <c:v>40519.15</c:v>
                </c:pt>
                <c:pt idx="3">
                  <c:v>49618.960000000006</c:v>
                </c:pt>
              </c:numCache>
            </c:numRef>
          </c:val>
          <c:extLst>
            <c:ext xmlns:c16="http://schemas.microsoft.com/office/drawing/2014/chart" uri="{C3380CC4-5D6E-409C-BE32-E72D297353CC}">
              <c16:uniqueId val="{00000000-5905-4E27-824C-B6851B189DE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t>
            </a:r>
            <a:r>
              <a:rPr lang="en-IN" b="1" baseline="0"/>
              <a:t> WISE SALE AND PROFIT</a:t>
            </a:r>
            <a:endParaRPr lang="en-IN" b="1"/>
          </a:p>
        </c:rich>
      </c:tx>
      <c:layout>
        <c:manualLayout>
          <c:xMode val="edge"/>
          <c:yMode val="edge"/>
          <c:x val="0.28373633132370712"/>
          <c:y val="0.104286114721096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c:f>
              <c:strCache>
                <c:ptCount val="1"/>
                <c:pt idx="0">
                  <c:v>Sum of Profit</c:v>
                </c:pt>
              </c:strCache>
            </c:strRef>
          </c:tx>
          <c:spPr>
            <a:solidFill>
              <a:schemeClr val="accent1"/>
            </a:solidFill>
            <a:ln>
              <a:noFill/>
            </a:ln>
            <a:effectLst/>
          </c:spPr>
          <c:invertIfNegative val="0"/>
          <c:cat>
            <c:strRef>
              <c:f>Pivot!$A$36:$A$41</c:f>
              <c:strCache>
                <c:ptCount val="5"/>
                <c:pt idx="0">
                  <c:v>Central</c:v>
                </c:pt>
                <c:pt idx="1">
                  <c:v>East</c:v>
                </c:pt>
                <c:pt idx="2">
                  <c:v>North</c:v>
                </c:pt>
                <c:pt idx="3">
                  <c:v>South</c:v>
                </c:pt>
                <c:pt idx="4">
                  <c:v>West</c:v>
                </c:pt>
              </c:strCache>
            </c:strRef>
          </c:cat>
          <c:val>
            <c:numRef>
              <c:f>Pivot!$B$36:$B$41</c:f>
              <c:numCache>
                <c:formatCode>General</c:formatCode>
                <c:ptCount val="5"/>
                <c:pt idx="0">
                  <c:v>5429.7878983546061</c:v>
                </c:pt>
                <c:pt idx="1">
                  <c:v>11049.448963135665</c:v>
                </c:pt>
                <c:pt idx="2">
                  <c:v>8560.2812343704027</c:v>
                </c:pt>
                <c:pt idx="3">
                  <c:v>5573.7695047311163</c:v>
                </c:pt>
                <c:pt idx="4">
                  <c:v>6856.5407057221446</c:v>
                </c:pt>
              </c:numCache>
            </c:numRef>
          </c:val>
          <c:extLst>
            <c:ext xmlns:c16="http://schemas.microsoft.com/office/drawing/2014/chart" uri="{C3380CC4-5D6E-409C-BE32-E72D297353CC}">
              <c16:uniqueId val="{00000000-3BF4-4B90-9DFE-B42275D0A1B8}"/>
            </c:ext>
          </c:extLst>
        </c:ser>
        <c:ser>
          <c:idx val="1"/>
          <c:order val="1"/>
          <c:tx>
            <c:strRef>
              <c:f>Pivot!$C$35</c:f>
              <c:strCache>
                <c:ptCount val="1"/>
                <c:pt idx="0">
                  <c:v>Sum of Total_Amount</c:v>
                </c:pt>
              </c:strCache>
            </c:strRef>
          </c:tx>
          <c:spPr>
            <a:solidFill>
              <a:schemeClr val="accent2"/>
            </a:solidFill>
            <a:ln>
              <a:noFill/>
            </a:ln>
            <a:effectLst/>
          </c:spPr>
          <c:invertIfNegative val="0"/>
          <c:cat>
            <c:strRef>
              <c:f>Pivot!$A$36:$A$41</c:f>
              <c:strCache>
                <c:ptCount val="5"/>
                <c:pt idx="0">
                  <c:v>Central</c:v>
                </c:pt>
                <c:pt idx="1">
                  <c:v>East</c:v>
                </c:pt>
                <c:pt idx="2">
                  <c:v>North</c:v>
                </c:pt>
                <c:pt idx="3">
                  <c:v>South</c:v>
                </c:pt>
                <c:pt idx="4">
                  <c:v>West</c:v>
                </c:pt>
              </c:strCache>
            </c:strRef>
          </c:cat>
          <c:val>
            <c:numRef>
              <c:f>Pivot!$C$36:$C$41</c:f>
              <c:numCache>
                <c:formatCode>General</c:formatCode>
                <c:ptCount val="5"/>
                <c:pt idx="0">
                  <c:v>24889.33</c:v>
                </c:pt>
                <c:pt idx="1">
                  <c:v>50649.009999999995</c:v>
                </c:pt>
                <c:pt idx="2">
                  <c:v>39239.040000000001</c:v>
                </c:pt>
                <c:pt idx="3">
                  <c:v>25549.319999999992</c:v>
                </c:pt>
                <c:pt idx="4">
                  <c:v>31429.350000000006</c:v>
                </c:pt>
              </c:numCache>
            </c:numRef>
          </c:val>
          <c:extLst>
            <c:ext xmlns:c16="http://schemas.microsoft.com/office/drawing/2014/chart" uri="{C3380CC4-5D6E-409C-BE32-E72D297353CC}">
              <c16:uniqueId val="{00000009-3BF4-4B90-9DFE-B42275D0A1B8}"/>
            </c:ext>
          </c:extLst>
        </c:ser>
        <c:dLbls>
          <c:showLegendKey val="0"/>
          <c:showVal val="0"/>
          <c:showCatName val="0"/>
          <c:showSerName val="0"/>
          <c:showPercent val="0"/>
          <c:showBubbleSize val="0"/>
        </c:dLbls>
        <c:gapWidth val="219"/>
        <c:overlap val="-27"/>
        <c:axId val="584389567"/>
        <c:axId val="584390399"/>
      </c:barChart>
      <c:catAx>
        <c:axId val="5843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90399"/>
        <c:crosses val="autoZero"/>
        <c:auto val="1"/>
        <c:lblAlgn val="ctr"/>
        <c:lblOffset val="100"/>
        <c:noMultiLvlLbl val="0"/>
      </c:catAx>
      <c:valAx>
        <c:axId val="58439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8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SEGMENT</a:t>
            </a:r>
            <a:r>
              <a:rPr lang="en-IN" b="1" baseline="0"/>
              <a:t> WISE SALES AND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Pivot!$L$36</c:f>
              <c:strCache>
                <c:ptCount val="1"/>
                <c:pt idx="0">
                  <c:v>Average of Total_Amount</c:v>
                </c:pt>
              </c:strCache>
            </c:strRef>
          </c:tx>
          <c:spPr>
            <a:solidFill>
              <a:schemeClr val="accent1"/>
            </a:solidFill>
            <a:ln>
              <a:noFill/>
            </a:ln>
            <a:effectLst/>
          </c:spPr>
          <c:invertIfNegative val="0"/>
          <c:cat>
            <c:strRef>
              <c:f>Pivot!$K$37:$K$40</c:f>
              <c:strCache>
                <c:ptCount val="3"/>
                <c:pt idx="0">
                  <c:v>Basic</c:v>
                </c:pt>
                <c:pt idx="1">
                  <c:v>Premium</c:v>
                </c:pt>
                <c:pt idx="2">
                  <c:v>Standard</c:v>
                </c:pt>
              </c:strCache>
            </c:strRef>
          </c:cat>
          <c:val>
            <c:numRef>
              <c:f>Pivot!$L$37:$L$40</c:f>
              <c:numCache>
                <c:formatCode>General</c:formatCode>
                <c:ptCount val="3"/>
                <c:pt idx="0">
                  <c:v>1253.4081250000002</c:v>
                </c:pt>
                <c:pt idx="1">
                  <c:v>1146.1767241379314</c:v>
                </c:pt>
                <c:pt idx="2">
                  <c:v>1589.4814634146339</c:v>
                </c:pt>
              </c:numCache>
            </c:numRef>
          </c:val>
          <c:extLst>
            <c:ext xmlns:c16="http://schemas.microsoft.com/office/drawing/2014/chart" uri="{C3380CC4-5D6E-409C-BE32-E72D297353CC}">
              <c16:uniqueId val="{00000000-22D9-4FED-9BCE-88DA01C1AF68}"/>
            </c:ext>
          </c:extLst>
        </c:ser>
        <c:ser>
          <c:idx val="1"/>
          <c:order val="1"/>
          <c:tx>
            <c:strRef>
              <c:f>Pivot!$M$36</c:f>
              <c:strCache>
                <c:ptCount val="1"/>
                <c:pt idx="0">
                  <c:v>Average of Profit</c:v>
                </c:pt>
              </c:strCache>
            </c:strRef>
          </c:tx>
          <c:spPr>
            <a:solidFill>
              <a:schemeClr val="accent2"/>
            </a:solidFill>
            <a:ln>
              <a:noFill/>
            </a:ln>
            <a:effectLst/>
          </c:spPr>
          <c:invertIfNegative val="0"/>
          <c:cat>
            <c:strRef>
              <c:f>Pivot!$K$37:$K$40</c:f>
              <c:strCache>
                <c:ptCount val="3"/>
                <c:pt idx="0">
                  <c:v>Basic</c:v>
                </c:pt>
                <c:pt idx="1">
                  <c:v>Premium</c:v>
                </c:pt>
                <c:pt idx="2">
                  <c:v>Standard</c:v>
                </c:pt>
              </c:strCache>
            </c:strRef>
          </c:cat>
          <c:val>
            <c:numRef>
              <c:f>Pivot!$M$37:$M$40</c:f>
              <c:numCache>
                <c:formatCode>General</c:formatCode>
                <c:ptCount val="3"/>
                <c:pt idx="0">
                  <c:v>273.44007527821509</c:v>
                </c:pt>
                <c:pt idx="1">
                  <c:v>250.04676727336016</c:v>
                </c:pt>
                <c:pt idx="2">
                  <c:v>346.75691208673544</c:v>
                </c:pt>
              </c:numCache>
            </c:numRef>
          </c:val>
          <c:extLst>
            <c:ext xmlns:c16="http://schemas.microsoft.com/office/drawing/2014/chart" uri="{C3380CC4-5D6E-409C-BE32-E72D297353CC}">
              <c16:uniqueId val="{00000001-22D9-4FED-9BCE-88DA01C1AF68}"/>
            </c:ext>
          </c:extLst>
        </c:ser>
        <c:dLbls>
          <c:showLegendKey val="0"/>
          <c:showVal val="0"/>
          <c:showCatName val="0"/>
          <c:showSerName val="0"/>
          <c:showPercent val="0"/>
          <c:showBubbleSize val="0"/>
        </c:dLbls>
        <c:gapWidth val="219"/>
        <c:overlap val="-27"/>
        <c:axId val="584360863"/>
        <c:axId val="584383743"/>
      </c:barChart>
      <c:catAx>
        <c:axId val="5843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83743"/>
        <c:crosses val="autoZero"/>
        <c:auto val="1"/>
        <c:lblAlgn val="ctr"/>
        <c:lblOffset val="100"/>
        <c:noMultiLvlLbl val="0"/>
      </c:catAx>
      <c:valAx>
        <c:axId val="58438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6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AND PROFIT OF PRODUCT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Pivot!$B$54</c:f>
              <c:strCache>
                <c:ptCount val="1"/>
                <c:pt idx="0">
                  <c:v>Average of Total_Amount</c:v>
                </c:pt>
              </c:strCache>
            </c:strRef>
          </c:tx>
          <c:spPr>
            <a:solidFill>
              <a:schemeClr val="accent1"/>
            </a:solidFill>
            <a:ln>
              <a:noFill/>
            </a:ln>
            <a:effectLst/>
            <a:sp3d/>
          </c:spPr>
          <c:invertIfNegative val="0"/>
          <c:cat>
            <c:strRef>
              <c:f>Pivot!$A$55:$A$60</c:f>
              <c:strCache>
                <c:ptCount val="5"/>
                <c:pt idx="0">
                  <c:v>Headphones</c:v>
                </c:pt>
                <c:pt idx="1">
                  <c:v>Keyboard</c:v>
                </c:pt>
                <c:pt idx="2">
                  <c:v>Laptop</c:v>
                </c:pt>
                <c:pt idx="3">
                  <c:v>Monitor</c:v>
                </c:pt>
                <c:pt idx="4">
                  <c:v>Smartphone</c:v>
                </c:pt>
              </c:strCache>
            </c:strRef>
          </c:cat>
          <c:val>
            <c:numRef>
              <c:f>Pivot!$B$55:$B$60</c:f>
              <c:numCache>
                <c:formatCode>General</c:formatCode>
                <c:ptCount val="5"/>
                <c:pt idx="0">
                  <c:v>440.59562499999993</c:v>
                </c:pt>
                <c:pt idx="1">
                  <c:v>235.5620588235293</c:v>
                </c:pt>
                <c:pt idx="2">
                  <c:v>2812.4687499999995</c:v>
                </c:pt>
                <c:pt idx="3">
                  <c:v>846.12000000000023</c:v>
                </c:pt>
                <c:pt idx="4">
                  <c:v>2167.7109677419362</c:v>
                </c:pt>
              </c:numCache>
            </c:numRef>
          </c:val>
          <c:extLst>
            <c:ext xmlns:c16="http://schemas.microsoft.com/office/drawing/2014/chart" uri="{C3380CC4-5D6E-409C-BE32-E72D297353CC}">
              <c16:uniqueId val="{00000000-3015-4A32-B837-ADFFD84F2388}"/>
            </c:ext>
          </c:extLst>
        </c:ser>
        <c:ser>
          <c:idx val="1"/>
          <c:order val="1"/>
          <c:tx>
            <c:strRef>
              <c:f>Pivot!$C$54</c:f>
              <c:strCache>
                <c:ptCount val="1"/>
                <c:pt idx="0">
                  <c:v>Average of Profit</c:v>
                </c:pt>
              </c:strCache>
            </c:strRef>
          </c:tx>
          <c:spPr>
            <a:solidFill>
              <a:schemeClr val="accent2"/>
            </a:solidFill>
            <a:ln>
              <a:noFill/>
            </a:ln>
            <a:effectLst/>
            <a:sp3d/>
          </c:spPr>
          <c:invertIfNegative val="0"/>
          <c:cat>
            <c:strRef>
              <c:f>Pivot!$A$55:$A$60</c:f>
              <c:strCache>
                <c:ptCount val="5"/>
                <c:pt idx="0">
                  <c:v>Headphones</c:v>
                </c:pt>
                <c:pt idx="1">
                  <c:v>Keyboard</c:v>
                </c:pt>
                <c:pt idx="2">
                  <c:v>Laptop</c:v>
                </c:pt>
                <c:pt idx="3">
                  <c:v>Monitor</c:v>
                </c:pt>
                <c:pt idx="4">
                  <c:v>Smartphone</c:v>
                </c:pt>
              </c:strCache>
            </c:strRef>
          </c:cat>
          <c:val>
            <c:numRef>
              <c:f>Pivot!$C$55:$C$60</c:f>
              <c:numCache>
                <c:formatCode>General</c:formatCode>
                <c:ptCount val="5"/>
                <c:pt idx="0">
                  <c:v>96.119131880728986</c:v>
                </c:pt>
                <c:pt idx="1">
                  <c:v>51.389572009832939</c:v>
                </c:pt>
                <c:pt idx="2">
                  <c:v>613.56046077779115</c:v>
                </c:pt>
                <c:pt idx="3">
                  <c:v>184.58721615068788</c:v>
                </c:pt>
                <c:pt idx="4">
                  <c:v>472.9018732033249</c:v>
                </c:pt>
              </c:numCache>
            </c:numRef>
          </c:val>
          <c:extLst>
            <c:ext xmlns:c16="http://schemas.microsoft.com/office/drawing/2014/chart" uri="{C3380CC4-5D6E-409C-BE32-E72D297353CC}">
              <c16:uniqueId val="{00000001-3015-4A32-B837-ADFFD84F2388}"/>
            </c:ext>
          </c:extLst>
        </c:ser>
        <c:dLbls>
          <c:showLegendKey val="0"/>
          <c:showVal val="0"/>
          <c:showCatName val="0"/>
          <c:showSerName val="0"/>
          <c:showPercent val="0"/>
          <c:showBubbleSize val="0"/>
        </c:dLbls>
        <c:gapWidth val="150"/>
        <c:shape val="box"/>
        <c:axId val="807014095"/>
        <c:axId val="807015343"/>
        <c:axId val="0"/>
      </c:bar3DChart>
      <c:catAx>
        <c:axId val="807014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015343"/>
        <c:crosses val="autoZero"/>
        <c:auto val="1"/>
        <c:lblAlgn val="ctr"/>
        <c:lblOffset val="100"/>
        <c:noMultiLvlLbl val="0"/>
      </c:catAx>
      <c:valAx>
        <c:axId val="80701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01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t>PROFIT</a:t>
            </a:r>
            <a:r>
              <a:rPr lang="en-IN" b="1" i="0" baseline="0"/>
              <a:t> BY REGION AND CATEGORY</a:t>
            </a:r>
            <a:endParaRPr lang="en-IN"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Pivot!$J$54:$J$55</c:f>
              <c:strCache>
                <c:ptCount val="1"/>
                <c:pt idx="0">
                  <c:v>Electronics</c:v>
                </c:pt>
              </c:strCache>
            </c:strRef>
          </c:tx>
          <c:spPr>
            <a:solidFill>
              <a:schemeClr val="accent1"/>
            </a:solidFill>
            <a:ln>
              <a:noFill/>
            </a:ln>
            <a:effectLst/>
          </c:spPr>
          <c:invertIfNegative val="0"/>
          <c:cat>
            <c:strRef>
              <c:f>Pivot!$I$56:$I$61</c:f>
              <c:strCache>
                <c:ptCount val="5"/>
                <c:pt idx="0">
                  <c:v>Central</c:v>
                </c:pt>
                <c:pt idx="1">
                  <c:v>East</c:v>
                </c:pt>
                <c:pt idx="2">
                  <c:v>North</c:v>
                </c:pt>
                <c:pt idx="3">
                  <c:v>South</c:v>
                </c:pt>
                <c:pt idx="4">
                  <c:v>West</c:v>
                </c:pt>
              </c:strCache>
            </c:strRef>
          </c:cat>
          <c:val>
            <c:numRef>
              <c:f>Pivot!$J$56:$J$61</c:f>
              <c:numCache>
                <c:formatCode>General</c:formatCode>
                <c:ptCount val="5"/>
                <c:pt idx="0">
                  <c:v>5429.7878983546061</c:v>
                </c:pt>
                <c:pt idx="1">
                  <c:v>11049.448963135665</c:v>
                </c:pt>
                <c:pt idx="2">
                  <c:v>8560.2812343704027</c:v>
                </c:pt>
                <c:pt idx="3">
                  <c:v>5573.7695047311163</c:v>
                </c:pt>
                <c:pt idx="4">
                  <c:v>6856.5407057221446</c:v>
                </c:pt>
              </c:numCache>
            </c:numRef>
          </c:val>
          <c:extLst>
            <c:ext xmlns:c16="http://schemas.microsoft.com/office/drawing/2014/chart" uri="{C3380CC4-5D6E-409C-BE32-E72D297353CC}">
              <c16:uniqueId val="{00000000-B74D-4EC3-9CF2-F7D5939E2FE5}"/>
            </c:ext>
          </c:extLst>
        </c:ser>
        <c:dLbls>
          <c:showLegendKey val="0"/>
          <c:showVal val="0"/>
          <c:showCatName val="0"/>
          <c:showSerName val="0"/>
          <c:showPercent val="0"/>
          <c:showBubbleSize val="0"/>
        </c:dLbls>
        <c:gapWidth val="219"/>
        <c:overlap val="-27"/>
        <c:axId val="582081935"/>
        <c:axId val="582090671"/>
      </c:barChart>
      <c:catAx>
        <c:axId val="58208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90671"/>
        <c:crosses val="autoZero"/>
        <c:auto val="1"/>
        <c:lblAlgn val="ctr"/>
        <c:lblOffset val="100"/>
        <c:noMultiLvlLbl val="0"/>
      </c:catAx>
      <c:valAx>
        <c:axId val="58209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8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 WISE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a:outerShdw blurRad="50800" dist="15875" dir="5400000" algn="ctr" rotWithShape="0">
              <a:srgbClr val="000000">
                <a:alpha val="68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a:outerShdw blurRad="50800" dist="15875" dir="5400000" algn="ctr" rotWithShape="0">
              <a:srgbClr val="000000">
                <a:alpha val="68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Sum of Profit</c:v>
                </c:pt>
              </c:strCache>
            </c:strRef>
          </c:tx>
          <c:spPr>
            <a:ln w="31750" cap="rnd">
              <a:solidFill>
                <a:schemeClr val="accent1"/>
              </a:solidFill>
              <a:round/>
            </a:ln>
            <a:effectLst>
              <a:outerShdw blurRad="50800" dist="15875" dir="5400000" algn="ctr" rotWithShape="0">
                <a:srgbClr val="000000">
                  <a:alpha val="68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4020.5334843679666</c:v>
                </c:pt>
                <c:pt idx="1">
                  <c:v>1795.3971175405557</c:v>
                </c:pt>
                <c:pt idx="2">
                  <c:v>3427.1828389475472</c:v>
                </c:pt>
                <c:pt idx="3">
                  <c:v>5222.5843196331916</c:v>
                </c:pt>
                <c:pt idx="4">
                  <c:v>2218.6003754835419</c:v>
                </c:pt>
                <c:pt idx="5">
                  <c:v>3872.1996407648153</c:v>
                </c:pt>
                <c:pt idx="6">
                  <c:v>3150.1209442003069</c:v>
                </c:pt>
                <c:pt idx="7">
                  <c:v>2371.3017273211476</c:v>
                </c:pt>
                <c:pt idx="8">
                  <c:v>2024.4447821518756</c:v>
                </c:pt>
                <c:pt idx="9">
                  <c:v>3913.6626085490534</c:v>
                </c:pt>
                <c:pt idx="10">
                  <c:v>1738.656597225905</c:v>
                </c:pt>
                <c:pt idx="11">
                  <c:v>3715.1438701280222</c:v>
                </c:pt>
              </c:numCache>
            </c:numRef>
          </c:val>
          <c:smooth val="0"/>
          <c:extLst>
            <c:ext xmlns:c16="http://schemas.microsoft.com/office/drawing/2014/chart" uri="{C3380CC4-5D6E-409C-BE32-E72D297353CC}">
              <c16:uniqueId val="{00000000-B711-4169-B134-D2622ACFC828}"/>
            </c:ext>
          </c:extLst>
        </c:ser>
        <c:ser>
          <c:idx val="1"/>
          <c:order val="1"/>
          <c:tx>
            <c:strRef>
              <c:f>Pivot!$C$3</c:f>
              <c:strCache>
                <c:ptCount val="1"/>
                <c:pt idx="0">
                  <c:v>Sum of Total_Amount</c:v>
                </c:pt>
              </c:strCache>
            </c:strRef>
          </c:tx>
          <c:spPr>
            <a:ln w="31750" cap="rnd">
              <a:solidFill>
                <a:schemeClr val="accent2"/>
              </a:solidFill>
              <a:round/>
            </a:ln>
            <a:effectLst>
              <a:outerShdw blurRad="50800" dist="15875" dir="5400000" algn="ctr" rotWithShape="0">
                <a:srgbClr val="000000">
                  <a:alpha val="68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General</c:formatCode>
                <c:ptCount val="12"/>
                <c:pt idx="0">
                  <c:v>18429.52</c:v>
                </c:pt>
                <c:pt idx="1">
                  <c:v>8229.83</c:v>
                </c:pt>
                <c:pt idx="2">
                  <c:v>15709.689999999999</c:v>
                </c:pt>
                <c:pt idx="3">
                  <c:v>23939.539999999997</c:v>
                </c:pt>
                <c:pt idx="4">
                  <c:v>10169.729999999998</c:v>
                </c:pt>
                <c:pt idx="5">
                  <c:v>17749.579999999998</c:v>
                </c:pt>
                <c:pt idx="6">
                  <c:v>14439.679999999997</c:v>
                </c:pt>
                <c:pt idx="7">
                  <c:v>10869.689999999999</c:v>
                </c:pt>
                <c:pt idx="8">
                  <c:v>9279.75</c:v>
                </c:pt>
                <c:pt idx="9">
                  <c:v>17939.64</c:v>
                </c:pt>
                <c:pt idx="10">
                  <c:v>7969.74</c:v>
                </c:pt>
                <c:pt idx="11">
                  <c:v>17029.66</c:v>
                </c:pt>
              </c:numCache>
            </c:numRef>
          </c:val>
          <c:smooth val="0"/>
          <c:extLst>
            <c:ext xmlns:c16="http://schemas.microsoft.com/office/drawing/2014/chart" uri="{C3380CC4-5D6E-409C-BE32-E72D297353CC}">
              <c16:uniqueId val="{00000001-B711-4169-B134-D2622ACFC828}"/>
            </c:ext>
          </c:extLst>
        </c:ser>
        <c:dLbls>
          <c:showLegendKey val="0"/>
          <c:showVal val="0"/>
          <c:showCatName val="0"/>
          <c:showSerName val="0"/>
          <c:showPercent val="0"/>
          <c:showBubbleSize val="0"/>
        </c:dLbls>
        <c:marker val="1"/>
        <c:smooth val="0"/>
        <c:axId val="890380479"/>
        <c:axId val="890384223"/>
      </c:lineChart>
      <c:catAx>
        <c:axId val="89038047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0384223"/>
        <c:crosses val="autoZero"/>
        <c:auto val="1"/>
        <c:lblAlgn val="ctr"/>
        <c:lblOffset val="100"/>
        <c:noMultiLvlLbl val="0"/>
      </c:catAx>
      <c:valAx>
        <c:axId val="8903842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038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2.9481408573928208E-2"/>
              <c:y val="6.49369349664625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1.5363517060367466E-2"/>
              <c:y val="5.947142023913673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3"/>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2.9481408573928208E-2"/>
              <c:y val="6.49369349664625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dLbl>
          <c:idx val="0"/>
          <c:layout>
            <c:manualLayout>
              <c:x val="-1.5363517060367466E-2"/>
              <c:y val="5.947142023913673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2.9481408573928208E-2"/>
              <c:y val="6.49369349664625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10"/>
      </c:pivotFmt>
      <c:pivotFmt>
        <c:idx val="11"/>
        <c:dLbl>
          <c:idx val="0"/>
          <c:layout>
            <c:manualLayout>
              <c:x val="-1.5363517060367466E-2"/>
              <c:y val="5.947142023913673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2.9481408573928208E-2"/>
              <c:y val="6.49369349664625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14"/>
      </c:pivotFmt>
      <c:pivotFmt>
        <c:idx val="15"/>
        <c:dLbl>
          <c:idx val="0"/>
          <c:layout>
            <c:manualLayout>
              <c:x val="-1.5363517060367466E-2"/>
              <c:y val="5.947142023913673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2.9481408573928208E-2"/>
              <c:y val="6.49369349664625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18"/>
      </c:pivotFmt>
      <c:pivotFmt>
        <c:idx val="19"/>
        <c:dLbl>
          <c:idx val="0"/>
          <c:layout>
            <c:manualLayout>
              <c:x val="-1.5363517060367466E-2"/>
              <c:y val="5.947142023913673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1"/>
      </c:pivotFmt>
      <c:pivotFmt>
        <c:idx val="22"/>
        <c:dLbl>
          <c:idx val="0"/>
          <c:layout>
            <c:manualLayout>
              <c:x val="-1.5363517060367466E-2"/>
              <c:y val="5.947142023913673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2C2C2C">
                  <a:lumMod val="75000"/>
                  <a:lumOff val="25000"/>
                </a:srgbClr>
              </a:fgClr>
              <a:bgClr>
                <a:srgbClr val="2C2C2C">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2"/>
          </a:solidFill>
          <a:ln>
            <a:noFill/>
          </a:ln>
          <a:effectLst>
            <a:outerShdw blurRad="254000" sx="102000" sy="102000" algn="ctr" rotWithShape="0">
              <a:prstClr val="black">
                <a:alpha val="20000"/>
              </a:prstClr>
            </a:outerShdw>
          </a:effectLst>
        </c:spPr>
      </c:pivotFmt>
      <c:pivotFmt>
        <c:idx val="25"/>
      </c:pivotFmt>
      <c:pivotFmt>
        <c:idx val="26"/>
      </c:pivotFmt>
    </c:pivotFmts>
    <c:plotArea>
      <c:layout/>
      <c:pieChart>
        <c:varyColors val="1"/>
        <c:ser>
          <c:idx val="0"/>
          <c:order val="0"/>
          <c:tx>
            <c:strRef>
              <c:f>Pivot!$B$19</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F5-4E36-914E-54E5C7CA18F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F5-4E36-914E-54E5C7CA18F4}"/>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F5-4E36-914E-54E5C7CA18F4}"/>
              </c:ext>
            </c:extLst>
          </c:dPt>
          <c:dLbls>
            <c:spPr>
              <a:pattFill prst="pct75">
                <a:fgClr>
                  <a:srgbClr val="2C2C2C">
                    <a:lumMod val="75000"/>
                    <a:lumOff val="25000"/>
                  </a:srgbClr>
                </a:fgClr>
                <a:bgClr>
                  <a:srgbClr val="2C2C2C">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Pivot!$A$20:$A$21</c:f>
              <c:strCache>
                <c:ptCount val="1"/>
                <c:pt idx="0">
                  <c:v>Electronics</c:v>
                </c:pt>
              </c:strCache>
            </c:strRef>
          </c:cat>
          <c:val>
            <c:numRef>
              <c:f>Pivot!$B$20:$B$21</c:f>
              <c:numCache>
                <c:formatCode>General</c:formatCode>
                <c:ptCount val="1"/>
                <c:pt idx="0">
                  <c:v>171756.0500000001</c:v>
                </c:pt>
              </c:numCache>
            </c:numRef>
          </c:val>
          <c:extLst>
            <c:ext xmlns:c16="http://schemas.microsoft.com/office/drawing/2014/chart" uri="{C3380CC4-5D6E-409C-BE32-E72D297353CC}">
              <c16:uniqueId val="{00000006-B6F5-4E36-914E-54E5C7CA18F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3.xlsx]Pivot!PivotTable5</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2C2C2C">
                  <a:lumMod val="75000"/>
                  <a:lumOff val="25000"/>
                </a:srgbClr>
              </a:fgClr>
              <a:bgClr>
                <a:srgbClr val="2C2C2C">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2"/>
          </a:solidFill>
          <a:ln>
            <a:noFill/>
          </a:ln>
          <a:effectLst>
            <a:outerShdw blurRad="254000" sx="102000" sy="102000" algn="ctr" rotWithShape="0">
              <a:prstClr val="black">
                <a:alpha val="20000"/>
              </a:prstClr>
            </a:outerShdw>
          </a:effectLst>
        </c:spPr>
      </c:pivotFmt>
      <c:pivotFmt>
        <c:idx val="33"/>
        <c:spPr>
          <a:solidFill>
            <a:schemeClr val="accent3"/>
          </a:solidFill>
          <a:ln>
            <a:noFill/>
          </a:ln>
          <a:effectLst>
            <a:outerShdw blurRad="254000" sx="102000" sy="102000" algn="ctr" rotWithShape="0">
              <a:prstClr val="black">
                <a:alpha val="20000"/>
              </a:prstClr>
            </a:outerShdw>
          </a:effectLst>
        </c:spPr>
      </c:pivotFmt>
      <c:pivotFmt>
        <c:idx val="34"/>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Pivot!$L$19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AE4-49D9-8459-B809E40FFD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E4-49D9-8459-B809E40FFDE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AE4-49D9-8459-B809E40FFDE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AE4-49D9-8459-B809E40FFDE7}"/>
              </c:ext>
            </c:extLst>
          </c:dPt>
          <c:dLbls>
            <c:spPr>
              <a:pattFill prst="pct75">
                <a:fgClr>
                  <a:srgbClr val="2C2C2C">
                    <a:lumMod val="75000"/>
                    <a:lumOff val="25000"/>
                  </a:srgbClr>
                </a:fgClr>
                <a:bgClr>
                  <a:srgbClr val="2C2C2C">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Pivot!$K$20:$K$24</c:f>
              <c:strCache>
                <c:ptCount val="4"/>
                <c:pt idx="0">
                  <c:v>Cash</c:v>
                </c:pt>
                <c:pt idx="1">
                  <c:v>Credit Card</c:v>
                </c:pt>
                <c:pt idx="2">
                  <c:v>Debit Card</c:v>
                </c:pt>
                <c:pt idx="3">
                  <c:v>PayPal</c:v>
                </c:pt>
              </c:strCache>
            </c:strRef>
          </c:cat>
          <c:val>
            <c:numRef>
              <c:f>Pivot!$L$20:$L$24</c:f>
              <c:numCache>
                <c:formatCode>General</c:formatCode>
                <c:ptCount val="4"/>
                <c:pt idx="0">
                  <c:v>35889.140000000007</c:v>
                </c:pt>
                <c:pt idx="1">
                  <c:v>45728.799999999996</c:v>
                </c:pt>
                <c:pt idx="2">
                  <c:v>40519.15</c:v>
                </c:pt>
                <c:pt idx="3">
                  <c:v>49618.960000000006</c:v>
                </c:pt>
              </c:numCache>
            </c:numRef>
          </c:val>
          <c:extLst>
            <c:ext xmlns:c16="http://schemas.microsoft.com/office/drawing/2014/chart" uri="{C3380CC4-5D6E-409C-BE32-E72D297353CC}">
              <c16:uniqueId val="{00000008-EAE4-49D9-8459-B809E40FFDE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3.xlsx]Pivot!PivotTable7</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 WISE SALE AND PROFIT</a:t>
            </a:r>
          </a:p>
        </c:rich>
      </c:tx>
      <c:layout>
        <c:manualLayout>
          <c:xMode val="edge"/>
          <c:yMode val="edge"/>
          <c:x val="0.28373633132370712"/>
          <c:y val="0.1042861147210967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c:f>
              <c:strCache>
                <c:ptCount val="1"/>
                <c:pt idx="0">
                  <c:v>Sum of Profit</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invertIfNegative val="0"/>
          <c:cat>
            <c:strRef>
              <c:f>Pivot!$A$36:$A$41</c:f>
              <c:strCache>
                <c:ptCount val="5"/>
                <c:pt idx="0">
                  <c:v>Central</c:v>
                </c:pt>
                <c:pt idx="1">
                  <c:v>East</c:v>
                </c:pt>
                <c:pt idx="2">
                  <c:v>North</c:v>
                </c:pt>
                <c:pt idx="3">
                  <c:v>South</c:v>
                </c:pt>
                <c:pt idx="4">
                  <c:v>West</c:v>
                </c:pt>
              </c:strCache>
            </c:strRef>
          </c:cat>
          <c:val>
            <c:numRef>
              <c:f>Pivot!$B$36:$B$41</c:f>
              <c:numCache>
                <c:formatCode>General</c:formatCode>
                <c:ptCount val="5"/>
                <c:pt idx="0">
                  <c:v>5429.7878983546061</c:v>
                </c:pt>
                <c:pt idx="1">
                  <c:v>11049.448963135665</c:v>
                </c:pt>
                <c:pt idx="2">
                  <c:v>8560.2812343704027</c:v>
                </c:pt>
                <c:pt idx="3">
                  <c:v>5573.7695047311163</c:v>
                </c:pt>
                <c:pt idx="4">
                  <c:v>6856.5407057221446</c:v>
                </c:pt>
              </c:numCache>
            </c:numRef>
          </c:val>
          <c:extLst>
            <c:ext xmlns:c16="http://schemas.microsoft.com/office/drawing/2014/chart" uri="{C3380CC4-5D6E-409C-BE32-E72D297353CC}">
              <c16:uniqueId val="{00000000-D1C0-4C86-A50A-A98666C85D80}"/>
            </c:ext>
          </c:extLst>
        </c:ser>
        <c:ser>
          <c:idx val="1"/>
          <c:order val="1"/>
          <c:tx>
            <c:strRef>
              <c:f>Pivot!$C$35</c:f>
              <c:strCache>
                <c:ptCount val="1"/>
                <c:pt idx="0">
                  <c:v>Sum of Total_Amount</c:v>
                </c:pt>
              </c:strCache>
            </c:strRef>
          </c:tx>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50800" dist="15875" dir="5400000" algn="ctr" rotWithShape="0">
                <a:srgbClr val="000000">
                  <a:alpha val="68000"/>
                </a:srgbClr>
              </a:outerShdw>
            </a:effectLst>
          </c:spPr>
          <c:invertIfNegative val="0"/>
          <c:cat>
            <c:strRef>
              <c:f>Pivot!$A$36:$A$41</c:f>
              <c:strCache>
                <c:ptCount val="5"/>
                <c:pt idx="0">
                  <c:v>Central</c:v>
                </c:pt>
                <c:pt idx="1">
                  <c:v>East</c:v>
                </c:pt>
                <c:pt idx="2">
                  <c:v>North</c:v>
                </c:pt>
                <c:pt idx="3">
                  <c:v>South</c:v>
                </c:pt>
                <c:pt idx="4">
                  <c:v>West</c:v>
                </c:pt>
              </c:strCache>
            </c:strRef>
          </c:cat>
          <c:val>
            <c:numRef>
              <c:f>Pivot!$C$36:$C$41</c:f>
              <c:numCache>
                <c:formatCode>General</c:formatCode>
                <c:ptCount val="5"/>
                <c:pt idx="0">
                  <c:v>24889.33</c:v>
                </c:pt>
                <c:pt idx="1">
                  <c:v>50649.009999999995</c:v>
                </c:pt>
                <c:pt idx="2">
                  <c:v>39239.040000000001</c:v>
                </c:pt>
                <c:pt idx="3">
                  <c:v>25549.319999999992</c:v>
                </c:pt>
                <c:pt idx="4">
                  <c:v>31429.350000000006</c:v>
                </c:pt>
              </c:numCache>
            </c:numRef>
          </c:val>
          <c:extLst>
            <c:ext xmlns:c16="http://schemas.microsoft.com/office/drawing/2014/chart" uri="{C3380CC4-5D6E-409C-BE32-E72D297353CC}">
              <c16:uniqueId val="{00000001-D1C0-4C86-A50A-A98666C85D80}"/>
            </c:ext>
          </c:extLst>
        </c:ser>
        <c:dLbls>
          <c:showLegendKey val="0"/>
          <c:showVal val="0"/>
          <c:showCatName val="0"/>
          <c:showSerName val="0"/>
          <c:showPercent val="0"/>
          <c:showBubbleSize val="0"/>
        </c:dLbls>
        <c:gapWidth val="100"/>
        <c:overlap val="-24"/>
        <c:axId val="584389567"/>
        <c:axId val="584390399"/>
      </c:barChart>
      <c:catAx>
        <c:axId val="5843895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4390399"/>
        <c:crosses val="autoZero"/>
        <c:auto val="1"/>
        <c:lblAlgn val="ctr"/>
        <c:lblOffset val="100"/>
        <c:noMultiLvlLbl val="0"/>
      </c:catAx>
      <c:valAx>
        <c:axId val="5843903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438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3.xlsx]Pivot!PivotTable8</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SEGMENT WISE SALES AND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Pivot!$L$36</c:f>
              <c:strCache>
                <c:ptCount val="1"/>
                <c:pt idx="0">
                  <c:v>Average of Total_Amount</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invertIfNegative val="0"/>
          <c:cat>
            <c:strRef>
              <c:f>Pivot!$K$37:$K$40</c:f>
              <c:strCache>
                <c:ptCount val="3"/>
                <c:pt idx="0">
                  <c:v>Basic</c:v>
                </c:pt>
                <c:pt idx="1">
                  <c:v>Premium</c:v>
                </c:pt>
                <c:pt idx="2">
                  <c:v>Standard</c:v>
                </c:pt>
              </c:strCache>
            </c:strRef>
          </c:cat>
          <c:val>
            <c:numRef>
              <c:f>Pivot!$L$37:$L$40</c:f>
              <c:numCache>
                <c:formatCode>General</c:formatCode>
                <c:ptCount val="3"/>
                <c:pt idx="0">
                  <c:v>1253.4081250000002</c:v>
                </c:pt>
                <c:pt idx="1">
                  <c:v>1146.1767241379314</c:v>
                </c:pt>
                <c:pt idx="2">
                  <c:v>1589.4814634146339</c:v>
                </c:pt>
              </c:numCache>
            </c:numRef>
          </c:val>
          <c:extLst>
            <c:ext xmlns:c16="http://schemas.microsoft.com/office/drawing/2014/chart" uri="{C3380CC4-5D6E-409C-BE32-E72D297353CC}">
              <c16:uniqueId val="{00000000-242A-4E2C-9CE9-76FD6BC892FC}"/>
            </c:ext>
          </c:extLst>
        </c:ser>
        <c:ser>
          <c:idx val="1"/>
          <c:order val="1"/>
          <c:tx>
            <c:strRef>
              <c:f>Pivot!$M$36</c:f>
              <c:strCache>
                <c:ptCount val="1"/>
                <c:pt idx="0">
                  <c:v>Average of Profit</c:v>
                </c:pt>
              </c:strCache>
            </c:strRef>
          </c:tx>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50800" dist="15875" dir="5400000" algn="ctr" rotWithShape="0">
                <a:srgbClr val="000000">
                  <a:alpha val="68000"/>
                </a:srgbClr>
              </a:outerShdw>
            </a:effectLst>
          </c:spPr>
          <c:invertIfNegative val="0"/>
          <c:cat>
            <c:strRef>
              <c:f>Pivot!$K$37:$K$40</c:f>
              <c:strCache>
                <c:ptCount val="3"/>
                <c:pt idx="0">
                  <c:v>Basic</c:v>
                </c:pt>
                <c:pt idx="1">
                  <c:v>Premium</c:v>
                </c:pt>
                <c:pt idx="2">
                  <c:v>Standard</c:v>
                </c:pt>
              </c:strCache>
            </c:strRef>
          </c:cat>
          <c:val>
            <c:numRef>
              <c:f>Pivot!$M$37:$M$40</c:f>
              <c:numCache>
                <c:formatCode>General</c:formatCode>
                <c:ptCount val="3"/>
                <c:pt idx="0">
                  <c:v>273.44007527821509</c:v>
                </c:pt>
                <c:pt idx="1">
                  <c:v>250.04676727336016</c:v>
                </c:pt>
                <c:pt idx="2">
                  <c:v>346.75691208673544</c:v>
                </c:pt>
              </c:numCache>
            </c:numRef>
          </c:val>
          <c:extLst>
            <c:ext xmlns:c16="http://schemas.microsoft.com/office/drawing/2014/chart" uri="{C3380CC4-5D6E-409C-BE32-E72D297353CC}">
              <c16:uniqueId val="{00000001-242A-4E2C-9CE9-76FD6BC892FC}"/>
            </c:ext>
          </c:extLst>
        </c:ser>
        <c:dLbls>
          <c:showLegendKey val="0"/>
          <c:showVal val="0"/>
          <c:showCatName val="0"/>
          <c:showSerName val="0"/>
          <c:showPercent val="0"/>
          <c:showBubbleSize val="0"/>
        </c:dLbls>
        <c:gapWidth val="100"/>
        <c:overlap val="-24"/>
        <c:axId val="584360863"/>
        <c:axId val="584383743"/>
      </c:barChart>
      <c:catAx>
        <c:axId val="5843608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4383743"/>
        <c:crosses val="autoZero"/>
        <c:auto val="1"/>
        <c:lblAlgn val="ctr"/>
        <c:lblOffset val="100"/>
        <c:noMultiLvlLbl val="0"/>
      </c:catAx>
      <c:valAx>
        <c:axId val="5843837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436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3.xlsx]Pivot!PivotTable10</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AND PROFIT OF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a:sp3d/>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a:sp3d/>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Pivot!$B$54</c:f>
              <c:strCache>
                <c:ptCount val="1"/>
                <c:pt idx="0">
                  <c:v>Average of Total_Amount</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a:sp3d/>
          </c:spPr>
          <c:invertIfNegative val="0"/>
          <c:cat>
            <c:strRef>
              <c:f>Pivot!$A$55:$A$60</c:f>
              <c:strCache>
                <c:ptCount val="5"/>
                <c:pt idx="0">
                  <c:v>Headphones</c:v>
                </c:pt>
                <c:pt idx="1">
                  <c:v>Keyboard</c:v>
                </c:pt>
                <c:pt idx="2">
                  <c:v>Laptop</c:v>
                </c:pt>
                <c:pt idx="3">
                  <c:v>Monitor</c:v>
                </c:pt>
                <c:pt idx="4">
                  <c:v>Smartphone</c:v>
                </c:pt>
              </c:strCache>
            </c:strRef>
          </c:cat>
          <c:val>
            <c:numRef>
              <c:f>Pivot!$B$55:$B$60</c:f>
              <c:numCache>
                <c:formatCode>General</c:formatCode>
                <c:ptCount val="5"/>
                <c:pt idx="0">
                  <c:v>440.59562499999993</c:v>
                </c:pt>
                <c:pt idx="1">
                  <c:v>235.5620588235293</c:v>
                </c:pt>
                <c:pt idx="2">
                  <c:v>2812.4687499999995</c:v>
                </c:pt>
                <c:pt idx="3">
                  <c:v>846.12000000000023</c:v>
                </c:pt>
                <c:pt idx="4">
                  <c:v>2167.7109677419362</c:v>
                </c:pt>
              </c:numCache>
            </c:numRef>
          </c:val>
          <c:extLst>
            <c:ext xmlns:c16="http://schemas.microsoft.com/office/drawing/2014/chart" uri="{C3380CC4-5D6E-409C-BE32-E72D297353CC}">
              <c16:uniqueId val="{00000000-273F-4CF9-A6A6-FEB51024F0A0}"/>
            </c:ext>
          </c:extLst>
        </c:ser>
        <c:ser>
          <c:idx val="1"/>
          <c:order val="1"/>
          <c:tx>
            <c:strRef>
              <c:f>Pivot!$C$54</c:f>
              <c:strCache>
                <c:ptCount val="1"/>
                <c:pt idx="0">
                  <c:v>Average of Profit</c:v>
                </c:pt>
              </c:strCache>
            </c:strRef>
          </c:tx>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50800" dist="15875" dir="5400000" algn="ctr" rotWithShape="0">
                <a:srgbClr val="000000">
                  <a:alpha val="68000"/>
                </a:srgbClr>
              </a:outerShdw>
            </a:effectLst>
            <a:sp3d/>
          </c:spPr>
          <c:invertIfNegative val="0"/>
          <c:cat>
            <c:strRef>
              <c:f>Pivot!$A$55:$A$60</c:f>
              <c:strCache>
                <c:ptCount val="5"/>
                <c:pt idx="0">
                  <c:v>Headphones</c:v>
                </c:pt>
                <c:pt idx="1">
                  <c:v>Keyboard</c:v>
                </c:pt>
                <c:pt idx="2">
                  <c:v>Laptop</c:v>
                </c:pt>
                <c:pt idx="3">
                  <c:v>Monitor</c:v>
                </c:pt>
                <c:pt idx="4">
                  <c:v>Smartphone</c:v>
                </c:pt>
              </c:strCache>
            </c:strRef>
          </c:cat>
          <c:val>
            <c:numRef>
              <c:f>Pivot!$C$55:$C$60</c:f>
              <c:numCache>
                <c:formatCode>General</c:formatCode>
                <c:ptCount val="5"/>
                <c:pt idx="0">
                  <c:v>96.119131880728986</c:v>
                </c:pt>
                <c:pt idx="1">
                  <c:v>51.389572009832939</c:v>
                </c:pt>
                <c:pt idx="2">
                  <c:v>613.56046077779115</c:v>
                </c:pt>
                <c:pt idx="3">
                  <c:v>184.58721615068788</c:v>
                </c:pt>
                <c:pt idx="4">
                  <c:v>472.9018732033249</c:v>
                </c:pt>
              </c:numCache>
            </c:numRef>
          </c:val>
          <c:extLst>
            <c:ext xmlns:c16="http://schemas.microsoft.com/office/drawing/2014/chart" uri="{C3380CC4-5D6E-409C-BE32-E72D297353CC}">
              <c16:uniqueId val="{00000001-273F-4CF9-A6A6-FEB51024F0A0}"/>
            </c:ext>
          </c:extLst>
        </c:ser>
        <c:dLbls>
          <c:showLegendKey val="0"/>
          <c:showVal val="0"/>
          <c:showCatName val="0"/>
          <c:showSerName val="0"/>
          <c:showPercent val="0"/>
          <c:showBubbleSize val="0"/>
        </c:dLbls>
        <c:gapWidth val="150"/>
        <c:shape val="box"/>
        <c:axId val="807014095"/>
        <c:axId val="807015343"/>
        <c:axId val="0"/>
      </c:bar3DChart>
      <c:catAx>
        <c:axId val="8070140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7015343"/>
        <c:crosses val="autoZero"/>
        <c:auto val="1"/>
        <c:lblAlgn val="ctr"/>
        <c:lblOffset val="100"/>
        <c:noMultiLvlLbl val="0"/>
      </c:catAx>
      <c:valAx>
        <c:axId val="80701534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701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 3.xlsx]Pivot!PivotTable11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PROFIT BY REGION AND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marker>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marker>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Pivot!$J$54:$J$55</c:f>
              <c:strCache>
                <c:ptCount val="1"/>
                <c:pt idx="0">
                  <c:v>Electronics</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invertIfNegative val="0"/>
          <c:cat>
            <c:strRef>
              <c:f>Pivot!$I$56:$I$61</c:f>
              <c:strCache>
                <c:ptCount val="5"/>
                <c:pt idx="0">
                  <c:v>Central</c:v>
                </c:pt>
                <c:pt idx="1">
                  <c:v>East</c:v>
                </c:pt>
                <c:pt idx="2">
                  <c:v>North</c:v>
                </c:pt>
                <c:pt idx="3">
                  <c:v>South</c:v>
                </c:pt>
                <c:pt idx="4">
                  <c:v>West</c:v>
                </c:pt>
              </c:strCache>
            </c:strRef>
          </c:cat>
          <c:val>
            <c:numRef>
              <c:f>Pivot!$J$56:$J$61</c:f>
              <c:numCache>
                <c:formatCode>General</c:formatCode>
                <c:ptCount val="5"/>
                <c:pt idx="0">
                  <c:v>5429.7878983546061</c:v>
                </c:pt>
                <c:pt idx="1">
                  <c:v>11049.448963135665</c:v>
                </c:pt>
                <c:pt idx="2">
                  <c:v>8560.2812343704027</c:v>
                </c:pt>
                <c:pt idx="3">
                  <c:v>5573.7695047311163</c:v>
                </c:pt>
                <c:pt idx="4">
                  <c:v>6856.5407057221446</c:v>
                </c:pt>
              </c:numCache>
            </c:numRef>
          </c:val>
          <c:extLst>
            <c:ext xmlns:c16="http://schemas.microsoft.com/office/drawing/2014/chart" uri="{C3380CC4-5D6E-409C-BE32-E72D297353CC}">
              <c16:uniqueId val="{00000000-5720-421C-A42C-6AD973A3308D}"/>
            </c:ext>
          </c:extLst>
        </c:ser>
        <c:dLbls>
          <c:showLegendKey val="0"/>
          <c:showVal val="0"/>
          <c:showCatName val="0"/>
          <c:showSerName val="0"/>
          <c:showPercent val="0"/>
          <c:showBubbleSize val="0"/>
        </c:dLbls>
        <c:gapWidth val="100"/>
        <c:overlap val="-24"/>
        <c:axId val="582081935"/>
        <c:axId val="582090671"/>
      </c:barChart>
      <c:catAx>
        <c:axId val="5820819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2090671"/>
        <c:crosses val="autoZero"/>
        <c:auto val="1"/>
        <c:lblAlgn val="ctr"/>
        <c:lblOffset val="100"/>
        <c:noMultiLvlLbl val="0"/>
      </c:catAx>
      <c:valAx>
        <c:axId val="5820906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208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167640</xdr:rowOff>
    </xdr:from>
    <xdr:to>
      <xdr:col>9</xdr:col>
      <xdr:colOff>1150620</xdr:colOff>
      <xdr:row>16</xdr:row>
      <xdr:rowOff>167640</xdr:rowOff>
    </xdr:to>
    <xdr:graphicFrame macro="">
      <xdr:nvGraphicFramePr>
        <xdr:cNvPr id="2" name="Chart 1">
          <a:extLst>
            <a:ext uri="{FF2B5EF4-FFF2-40B4-BE49-F238E27FC236}">
              <a16:creationId xmlns:a16="http://schemas.microsoft.com/office/drawing/2014/main" id="{601DD8B3-FB9B-4538-9170-8C0393610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17</xdr:row>
      <xdr:rowOff>167640</xdr:rowOff>
    </xdr:from>
    <xdr:to>
      <xdr:col>9</xdr:col>
      <xdr:colOff>304800</xdr:colOff>
      <xdr:row>32</xdr:row>
      <xdr:rowOff>167640</xdr:rowOff>
    </xdr:to>
    <xdr:graphicFrame macro="">
      <xdr:nvGraphicFramePr>
        <xdr:cNvPr id="3" name="Chart 2">
          <a:extLst>
            <a:ext uri="{FF2B5EF4-FFF2-40B4-BE49-F238E27FC236}">
              <a16:creationId xmlns:a16="http://schemas.microsoft.com/office/drawing/2014/main" id="{DF1FA76A-A3C5-4A6F-80D4-EA6E28CD4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15240</xdr:colOff>
      <xdr:row>2</xdr:row>
      <xdr:rowOff>0</xdr:rowOff>
    </xdr:from>
    <xdr:to>
      <xdr:col>19</xdr:col>
      <xdr:colOff>320040</xdr:colOff>
      <xdr:row>17</xdr:row>
      <xdr:rowOff>0</xdr:rowOff>
    </xdr:to>
    <xdr:graphicFrame macro="">
      <xdr:nvGraphicFramePr>
        <xdr:cNvPr id="4" name="Chart 3">
          <a:extLst>
            <a:ext uri="{FF2B5EF4-FFF2-40B4-BE49-F238E27FC236}">
              <a16:creationId xmlns:a16="http://schemas.microsoft.com/office/drawing/2014/main" id="{BCFE80F5-74E5-4A01-9600-26349A7FD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17</xdr:row>
      <xdr:rowOff>175260</xdr:rowOff>
    </xdr:from>
    <xdr:to>
      <xdr:col>18</xdr:col>
      <xdr:colOff>411480</xdr:colOff>
      <xdr:row>32</xdr:row>
      <xdr:rowOff>175260</xdr:rowOff>
    </xdr:to>
    <xdr:graphicFrame macro="">
      <xdr:nvGraphicFramePr>
        <xdr:cNvPr id="5" name="Chart 4">
          <a:extLst>
            <a:ext uri="{FF2B5EF4-FFF2-40B4-BE49-F238E27FC236}">
              <a16:creationId xmlns:a16="http://schemas.microsoft.com/office/drawing/2014/main" id="{3086D2B9-6D50-4840-98F8-07810655B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34</xdr:row>
      <xdr:rowOff>7620</xdr:rowOff>
    </xdr:from>
    <xdr:to>
      <xdr:col>9</xdr:col>
      <xdr:colOff>655320</xdr:colOff>
      <xdr:row>51</xdr:row>
      <xdr:rowOff>38100</xdr:rowOff>
    </xdr:to>
    <xdr:graphicFrame macro="">
      <xdr:nvGraphicFramePr>
        <xdr:cNvPr id="6" name="Chart 5">
          <a:extLst>
            <a:ext uri="{FF2B5EF4-FFF2-40B4-BE49-F238E27FC236}">
              <a16:creationId xmlns:a16="http://schemas.microsoft.com/office/drawing/2014/main" id="{31D959D5-BDB5-4AA3-B091-277951A9B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34</xdr:row>
      <xdr:rowOff>167640</xdr:rowOff>
    </xdr:from>
    <xdr:to>
      <xdr:col>19</xdr:col>
      <xdr:colOff>0</xdr:colOff>
      <xdr:row>49</xdr:row>
      <xdr:rowOff>167640</xdr:rowOff>
    </xdr:to>
    <xdr:graphicFrame macro="">
      <xdr:nvGraphicFramePr>
        <xdr:cNvPr id="7" name="Chart 6">
          <a:extLst>
            <a:ext uri="{FF2B5EF4-FFF2-40B4-BE49-F238E27FC236}">
              <a16:creationId xmlns:a16="http://schemas.microsoft.com/office/drawing/2014/main" id="{53F8E346-54A3-4384-927C-D756815A0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7620</xdr:colOff>
      <xdr:row>53</xdr:row>
      <xdr:rowOff>0</xdr:rowOff>
    </xdr:from>
    <xdr:to>
      <xdr:col>7</xdr:col>
      <xdr:colOff>381000</xdr:colOff>
      <xdr:row>68</xdr:row>
      <xdr:rowOff>0</xdr:rowOff>
    </xdr:to>
    <xdr:graphicFrame macro="">
      <xdr:nvGraphicFramePr>
        <xdr:cNvPr id="8" name="Chart 7">
          <a:extLst>
            <a:ext uri="{FF2B5EF4-FFF2-40B4-BE49-F238E27FC236}">
              <a16:creationId xmlns:a16="http://schemas.microsoft.com/office/drawing/2014/main" id="{0B3645DA-03D2-495B-A815-FDF19B316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7620</xdr:colOff>
      <xdr:row>52</xdr:row>
      <xdr:rowOff>175260</xdr:rowOff>
    </xdr:from>
    <xdr:to>
      <xdr:col>19</xdr:col>
      <xdr:colOff>7620</xdr:colOff>
      <xdr:row>67</xdr:row>
      <xdr:rowOff>175260</xdr:rowOff>
    </xdr:to>
    <xdr:graphicFrame macro="">
      <xdr:nvGraphicFramePr>
        <xdr:cNvPr id="10" name="Chart 9">
          <a:extLst>
            <a:ext uri="{FF2B5EF4-FFF2-40B4-BE49-F238E27FC236}">
              <a16:creationId xmlns:a16="http://schemas.microsoft.com/office/drawing/2014/main" id="{EEDF99FA-2063-4A1E-87CD-01E9C41C6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177165</xdr:rowOff>
    </xdr:from>
    <xdr:to>
      <xdr:col>4</xdr:col>
      <xdr:colOff>561974</xdr:colOff>
      <xdr:row>26</xdr:row>
      <xdr:rowOff>47625</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ACCB6E84-D423-4C91-9EEB-66C5157D59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86915"/>
              <a:ext cx="3000374" cy="2766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74295</xdr:rowOff>
    </xdr:from>
    <xdr:to>
      <xdr:col>4</xdr:col>
      <xdr:colOff>552450</xdr:colOff>
      <xdr:row>40</xdr:row>
      <xdr:rowOff>7620</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0AD2ED12-D985-4FC2-AE4B-37BC41C07F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779645"/>
              <a:ext cx="299085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22390</xdr:colOff>
      <xdr:row>11</xdr:row>
      <xdr:rowOff>0</xdr:rowOff>
    </xdr:from>
    <xdr:to>
      <xdr:col>15</xdr:col>
      <xdr:colOff>16675</xdr:colOff>
      <xdr:row>26</xdr:row>
      <xdr:rowOff>0</xdr:rowOff>
    </xdr:to>
    <xdr:graphicFrame macro="">
      <xdr:nvGraphicFramePr>
        <xdr:cNvPr id="19" name="Chart 18">
          <a:extLst>
            <a:ext uri="{FF2B5EF4-FFF2-40B4-BE49-F238E27FC236}">
              <a16:creationId xmlns:a16="http://schemas.microsoft.com/office/drawing/2014/main" id="{92F210C2-7776-4EBE-B82A-B9D1E4E8B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41599</xdr:colOff>
      <xdr:row>57</xdr:row>
      <xdr:rowOff>111760</xdr:rowOff>
    </xdr:from>
    <xdr:to>
      <xdr:col>23</xdr:col>
      <xdr:colOff>190499</xdr:colOff>
      <xdr:row>73</xdr:row>
      <xdr:rowOff>104140</xdr:rowOff>
    </xdr:to>
    <xdr:graphicFrame macro="">
      <xdr:nvGraphicFramePr>
        <xdr:cNvPr id="20" name="Chart 19">
          <a:extLst>
            <a:ext uri="{FF2B5EF4-FFF2-40B4-BE49-F238E27FC236}">
              <a16:creationId xmlns:a16="http://schemas.microsoft.com/office/drawing/2014/main" id="{CA580055-85D2-4073-95A4-999C9F367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36996</xdr:colOff>
      <xdr:row>11</xdr:row>
      <xdr:rowOff>0</xdr:rowOff>
    </xdr:from>
    <xdr:to>
      <xdr:col>23</xdr:col>
      <xdr:colOff>191936</xdr:colOff>
      <xdr:row>26</xdr:row>
      <xdr:rowOff>0</xdr:rowOff>
    </xdr:to>
    <xdr:graphicFrame macro="">
      <xdr:nvGraphicFramePr>
        <xdr:cNvPr id="21" name="Chart 20">
          <a:extLst>
            <a:ext uri="{FF2B5EF4-FFF2-40B4-BE49-F238E27FC236}">
              <a16:creationId xmlns:a16="http://schemas.microsoft.com/office/drawing/2014/main" id="{93EDCF32-F6CE-4BCC-B663-612F45A3D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4088</xdr:colOff>
      <xdr:row>40</xdr:row>
      <xdr:rowOff>41910</xdr:rowOff>
    </xdr:from>
    <xdr:to>
      <xdr:col>14</xdr:col>
      <xdr:colOff>603416</xdr:colOff>
      <xdr:row>57</xdr:row>
      <xdr:rowOff>72390</xdr:rowOff>
    </xdr:to>
    <xdr:graphicFrame macro="">
      <xdr:nvGraphicFramePr>
        <xdr:cNvPr id="22" name="Chart 21">
          <a:extLst>
            <a:ext uri="{FF2B5EF4-FFF2-40B4-BE49-F238E27FC236}">
              <a16:creationId xmlns:a16="http://schemas.microsoft.com/office/drawing/2014/main" id="{AE8584E4-FECA-4516-98EC-4FF51F2BF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30479</xdr:colOff>
      <xdr:row>26</xdr:row>
      <xdr:rowOff>28575</xdr:rowOff>
    </xdr:from>
    <xdr:to>
      <xdr:col>23</xdr:col>
      <xdr:colOff>193841</xdr:colOff>
      <xdr:row>40</xdr:row>
      <xdr:rowOff>0</xdr:rowOff>
    </xdr:to>
    <xdr:graphicFrame macro="">
      <xdr:nvGraphicFramePr>
        <xdr:cNvPr id="23" name="Chart 22">
          <a:extLst>
            <a:ext uri="{FF2B5EF4-FFF2-40B4-BE49-F238E27FC236}">
              <a16:creationId xmlns:a16="http://schemas.microsoft.com/office/drawing/2014/main" id="{A9425340-C5DD-436F-920F-9A0F1E7C7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36194</xdr:colOff>
      <xdr:row>40</xdr:row>
      <xdr:rowOff>24765</xdr:rowOff>
    </xdr:from>
    <xdr:to>
      <xdr:col>23</xdr:col>
      <xdr:colOff>184316</xdr:colOff>
      <xdr:row>57</xdr:row>
      <xdr:rowOff>57150</xdr:rowOff>
    </xdr:to>
    <xdr:graphicFrame macro="">
      <xdr:nvGraphicFramePr>
        <xdr:cNvPr id="24" name="Chart 23">
          <a:extLst>
            <a:ext uri="{FF2B5EF4-FFF2-40B4-BE49-F238E27FC236}">
              <a16:creationId xmlns:a16="http://schemas.microsoft.com/office/drawing/2014/main" id="{0F98BCC2-A4DE-467D-9ACA-4312D5A0C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xdr:colOff>
      <xdr:row>57</xdr:row>
      <xdr:rowOff>101600</xdr:rowOff>
    </xdr:from>
    <xdr:to>
      <xdr:col>14</xdr:col>
      <xdr:colOff>599441</xdr:colOff>
      <xdr:row>73</xdr:row>
      <xdr:rowOff>112395</xdr:rowOff>
    </xdr:to>
    <xdr:graphicFrame macro="">
      <xdr:nvGraphicFramePr>
        <xdr:cNvPr id="25" name="Chart 24">
          <a:extLst>
            <a:ext uri="{FF2B5EF4-FFF2-40B4-BE49-F238E27FC236}">
              <a16:creationId xmlns:a16="http://schemas.microsoft.com/office/drawing/2014/main" id="{857641C4-3560-404E-8747-1F61D8623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0</xdr:colOff>
      <xdr:row>26</xdr:row>
      <xdr:rowOff>72388</xdr:rowOff>
    </xdr:from>
    <xdr:to>
      <xdr:col>15</xdr:col>
      <xdr:colOff>9524</xdr:colOff>
      <xdr:row>39</xdr:row>
      <xdr:rowOff>161924</xdr:rowOff>
    </xdr:to>
    <mc:AlternateContent xmlns:mc="http://schemas.openxmlformats.org/markup-compatibility/2006" xmlns:tsle="http://schemas.microsoft.com/office/drawing/2012/timeslicer">
      <mc:Choice Requires="tsle">
        <xdr:graphicFrame macro="">
          <xdr:nvGraphicFramePr>
            <xdr:cNvPr id="26" name="Transaction_Month_End">
              <a:extLst>
                <a:ext uri="{FF2B5EF4-FFF2-40B4-BE49-F238E27FC236}">
                  <a16:creationId xmlns:a16="http://schemas.microsoft.com/office/drawing/2014/main" id="{823768D8-BA5B-430F-AB3E-A5B391DF7B3E}"/>
                </a:ext>
              </a:extLst>
            </xdr:cNvPr>
            <xdr:cNvGraphicFramePr/>
          </xdr:nvGraphicFramePr>
          <xdr:xfrm>
            <a:off x="0" y="0"/>
            <a:ext cx="0" cy="0"/>
          </xdr:xfrm>
          <a:graphic>
            <a:graphicData uri="http://schemas.microsoft.com/office/drawing/2012/timeslicer">
              <tsle:timeslicer name="Transaction_Month_End"/>
            </a:graphicData>
          </a:graphic>
        </xdr:graphicFrame>
      </mc:Choice>
      <mc:Fallback xmlns="">
        <xdr:sp macro="" textlink="">
          <xdr:nvSpPr>
            <xdr:cNvPr id="0" name=""/>
            <xdr:cNvSpPr>
              <a:spLocks noTextEdit="1"/>
            </xdr:cNvSpPr>
          </xdr:nvSpPr>
          <xdr:spPr>
            <a:xfrm>
              <a:off x="3048000" y="4777738"/>
              <a:ext cx="6105524" cy="24422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66675</xdr:colOff>
      <xdr:row>4</xdr:row>
      <xdr:rowOff>38100</xdr:rowOff>
    </xdr:from>
    <xdr:to>
      <xdr:col>4</xdr:col>
      <xdr:colOff>504825</xdr:colOff>
      <xdr:row>10</xdr:row>
      <xdr:rowOff>133350</xdr:rowOff>
    </xdr:to>
    <xdr:grpSp>
      <xdr:nvGrpSpPr>
        <xdr:cNvPr id="30" name="Group 29">
          <a:extLst>
            <a:ext uri="{FF2B5EF4-FFF2-40B4-BE49-F238E27FC236}">
              <a16:creationId xmlns:a16="http://schemas.microsoft.com/office/drawing/2014/main" id="{D95D6351-D0B0-416D-9DA2-5D3CD952A922}"/>
            </a:ext>
          </a:extLst>
        </xdr:cNvPr>
        <xdr:cNvGrpSpPr/>
      </xdr:nvGrpSpPr>
      <xdr:grpSpPr>
        <a:xfrm>
          <a:off x="66675" y="766970"/>
          <a:ext cx="2889802" cy="1188554"/>
          <a:chOff x="66675" y="762000"/>
          <a:chExt cx="2876550" cy="1181100"/>
        </a:xfrm>
      </xdr:grpSpPr>
      <xdr:sp macro="" textlink="">
        <xdr:nvSpPr>
          <xdr:cNvPr id="28" name="Rectangle: Rounded Corners 27">
            <a:extLst>
              <a:ext uri="{FF2B5EF4-FFF2-40B4-BE49-F238E27FC236}">
                <a16:creationId xmlns:a16="http://schemas.microsoft.com/office/drawing/2014/main" id="{835AACED-548E-486E-9DCF-AFC9366C4438}"/>
              </a:ext>
            </a:extLst>
          </xdr:cNvPr>
          <xdr:cNvSpPr/>
        </xdr:nvSpPr>
        <xdr:spPr>
          <a:xfrm>
            <a:off x="66675" y="762000"/>
            <a:ext cx="2876550"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tx1"/>
                </a:solidFill>
              </a:rPr>
              <a:t>TOTAL SALES</a:t>
            </a:r>
          </a:p>
          <a:p>
            <a:pPr algn="ctr"/>
            <a:endParaRPr lang="en-IN" sz="2000" b="1">
              <a:solidFill>
                <a:schemeClr val="tx1"/>
              </a:solidFill>
            </a:endParaRPr>
          </a:p>
        </xdr:txBody>
      </xdr:sp>
      <xdr:sp macro="" textlink="Pivot!A44">
        <xdr:nvSpPr>
          <xdr:cNvPr id="29" name="Rectangle 28">
            <a:extLst>
              <a:ext uri="{FF2B5EF4-FFF2-40B4-BE49-F238E27FC236}">
                <a16:creationId xmlns:a16="http://schemas.microsoft.com/office/drawing/2014/main" id="{191A92BB-9486-466F-842C-8FCE842CB00F}"/>
              </a:ext>
            </a:extLst>
          </xdr:cNvPr>
          <xdr:cNvSpPr/>
        </xdr:nvSpPr>
        <xdr:spPr>
          <a:xfrm>
            <a:off x="809625" y="1428749"/>
            <a:ext cx="1381125" cy="41910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D782E88F-3500-4CE2-8F73-FCDA873297AA}" type="TxLink">
              <a:rPr lang="en-US" sz="2000" b="0" i="0" u="none" strike="noStrike">
                <a:solidFill>
                  <a:schemeClr val="accent4">
                    <a:lumMod val="75000"/>
                  </a:schemeClr>
                </a:solidFill>
                <a:latin typeface="Corbel"/>
              </a:rPr>
              <a:pPr algn="ctr"/>
              <a:t>171756.05</a:t>
            </a:fld>
            <a:endParaRPr lang="en-US" sz="2000">
              <a:solidFill>
                <a:schemeClr val="accent4">
                  <a:lumMod val="75000"/>
                </a:schemeClr>
              </a:solidFill>
            </a:endParaRPr>
          </a:p>
        </xdr:txBody>
      </xdr:sp>
    </xdr:grpSp>
    <xdr:clientData/>
  </xdr:twoCellAnchor>
  <xdr:twoCellAnchor>
    <xdr:from>
      <xdr:col>6</xdr:col>
      <xdr:colOff>0</xdr:colOff>
      <xdr:row>4</xdr:row>
      <xdr:rowOff>47625</xdr:rowOff>
    </xdr:from>
    <xdr:to>
      <xdr:col>10</xdr:col>
      <xdr:colOff>438150</xdr:colOff>
      <xdr:row>10</xdr:row>
      <xdr:rowOff>142875</xdr:rowOff>
    </xdr:to>
    <xdr:grpSp>
      <xdr:nvGrpSpPr>
        <xdr:cNvPr id="31" name="Group 30">
          <a:extLst>
            <a:ext uri="{FF2B5EF4-FFF2-40B4-BE49-F238E27FC236}">
              <a16:creationId xmlns:a16="http://schemas.microsoft.com/office/drawing/2014/main" id="{BFCBA06D-C985-4B36-84D1-5C73BB0747E5}"/>
            </a:ext>
          </a:extLst>
        </xdr:cNvPr>
        <xdr:cNvGrpSpPr/>
      </xdr:nvGrpSpPr>
      <xdr:grpSpPr>
        <a:xfrm>
          <a:off x="3677478" y="776495"/>
          <a:ext cx="2889802" cy="1188554"/>
          <a:chOff x="66675" y="762000"/>
          <a:chExt cx="2876550" cy="1181100"/>
        </a:xfrm>
      </xdr:grpSpPr>
      <xdr:sp macro="" textlink="">
        <xdr:nvSpPr>
          <xdr:cNvPr id="32" name="Rectangle: Rounded Corners 31">
            <a:extLst>
              <a:ext uri="{FF2B5EF4-FFF2-40B4-BE49-F238E27FC236}">
                <a16:creationId xmlns:a16="http://schemas.microsoft.com/office/drawing/2014/main" id="{4EB531BA-D23C-4F4A-B666-EF02E513773B}"/>
              </a:ext>
            </a:extLst>
          </xdr:cNvPr>
          <xdr:cNvSpPr/>
        </xdr:nvSpPr>
        <xdr:spPr>
          <a:xfrm>
            <a:off x="66675" y="762000"/>
            <a:ext cx="2876550"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SEGMENT'S AVG</a:t>
            </a:r>
            <a:r>
              <a:rPr lang="en-IN" sz="2000" b="1" baseline="0">
                <a:solidFill>
                  <a:schemeClr val="tx1"/>
                </a:solidFill>
              </a:rPr>
              <a:t> PROFIT</a:t>
            </a:r>
            <a:endParaRPr lang="en-IN" sz="2000" b="1">
              <a:solidFill>
                <a:schemeClr val="tx1"/>
              </a:solidFill>
            </a:endParaRPr>
          </a:p>
        </xdr:txBody>
      </xdr:sp>
      <xdr:sp macro="" textlink="Pivot!K43">
        <xdr:nvSpPr>
          <xdr:cNvPr id="33" name="Rectangle 32">
            <a:extLst>
              <a:ext uri="{FF2B5EF4-FFF2-40B4-BE49-F238E27FC236}">
                <a16:creationId xmlns:a16="http://schemas.microsoft.com/office/drawing/2014/main" id="{71019263-133C-43A5-A813-87D62E25210F}"/>
              </a:ext>
            </a:extLst>
          </xdr:cNvPr>
          <xdr:cNvSpPr/>
        </xdr:nvSpPr>
        <xdr:spPr>
          <a:xfrm>
            <a:off x="809625" y="1428749"/>
            <a:ext cx="1381125" cy="41910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4EFDA522-5752-472E-B788-7F459F496317}" type="TxLink">
              <a:rPr lang="en-US" sz="2000" b="0" i="0" u="none" strike="noStrike">
                <a:solidFill>
                  <a:schemeClr val="accent4">
                    <a:lumMod val="75000"/>
                  </a:schemeClr>
                </a:solidFill>
                <a:latin typeface="Corbel"/>
              </a:rPr>
              <a:pPr algn="ctr"/>
              <a:t>286.03</a:t>
            </a:fld>
            <a:endParaRPr lang="en-US" sz="2000">
              <a:solidFill>
                <a:schemeClr val="accent4">
                  <a:lumMod val="75000"/>
                </a:schemeClr>
              </a:solidFill>
            </a:endParaRPr>
          </a:p>
        </xdr:txBody>
      </xdr:sp>
    </xdr:grpSp>
    <xdr:clientData/>
  </xdr:twoCellAnchor>
  <xdr:twoCellAnchor>
    <xdr:from>
      <xdr:col>11</xdr:col>
      <xdr:colOff>600075</xdr:colOff>
      <xdr:row>4</xdr:row>
      <xdr:rowOff>47625</xdr:rowOff>
    </xdr:from>
    <xdr:to>
      <xdr:col>16</xdr:col>
      <xdr:colOff>428625</xdr:colOff>
      <xdr:row>10</xdr:row>
      <xdr:rowOff>142875</xdr:rowOff>
    </xdr:to>
    <xdr:grpSp>
      <xdr:nvGrpSpPr>
        <xdr:cNvPr id="27" name="Group 26">
          <a:extLst>
            <a:ext uri="{FF2B5EF4-FFF2-40B4-BE49-F238E27FC236}">
              <a16:creationId xmlns:a16="http://schemas.microsoft.com/office/drawing/2014/main" id="{42437640-609C-48EF-A27A-A0E6E40AAF89}"/>
            </a:ext>
          </a:extLst>
        </xdr:cNvPr>
        <xdr:cNvGrpSpPr/>
      </xdr:nvGrpSpPr>
      <xdr:grpSpPr>
        <a:xfrm>
          <a:off x="7342118" y="776495"/>
          <a:ext cx="2893116" cy="1188554"/>
          <a:chOff x="66675" y="762000"/>
          <a:chExt cx="2876550" cy="1181100"/>
        </a:xfrm>
      </xdr:grpSpPr>
      <xdr:sp macro="" textlink="">
        <xdr:nvSpPr>
          <xdr:cNvPr id="34" name="Rectangle: Rounded Corners 33">
            <a:extLst>
              <a:ext uri="{FF2B5EF4-FFF2-40B4-BE49-F238E27FC236}">
                <a16:creationId xmlns:a16="http://schemas.microsoft.com/office/drawing/2014/main" id="{A3749447-1E75-497C-8512-DD1258D8B572}"/>
              </a:ext>
            </a:extLst>
          </xdr:cNvPr>
          <xdr:cNvSpPr/>
        </xdr:nvSpPr>
        <xdr:spPr>
          <a:xfrm>
            <a:off x="66675" y="762000"/>
            <a:ext cx="2876550"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tx1"/>
                </a:solidFill>
              </a:rPr>
              <a:t>CATEGORY PROFIT</a:t>
            </a:r>
            <a:endParaRPr lang="en-IN" sz="2000" b="1">
              <a:solidFill>
                <a:schemeClr val="tx1"/>
              </a:solidFill>
            </a:endParaRPr>
          </a:p>
        </xdr:txBody>
      </xdr:sp>
      <xdr:sp macro="" textlink="Pivot!A76">
        <xdr:nvSpPr>
          <xdr:cNvPr id="35" name="Rectangle 34">
            <a:extLst>
              <a:ext uri="{FF2B5EF4-FFF2-40B4-BE49-F238E27FC236}">
                <a16:creationId xmlns:a16="http://schemas.microsoft.com/office/drawing/2014/main" id="{9A58DD99-0925-4399-8354-7BC4425F7EFC}"/>
              </a:ext>
            </a:extLst>
          </xdr:cNvPr>
          <xdr:cNvSpPr/>
        </xdr:nvSpPr>
        <xdr:spPr>
          <a:xfrm>
            <a:off x="809625" y="1428749"/>
            <a:ext cx="1381125" cy="41910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8D4FDBA1-1C56-4307-AFDE-4A16DEB94C0D}" type="TxLink">
              <a:rPr lang="en-US" sz="2000" b="0" i="0" u="none" strike="noStrike">
                <a:solidFill>
                  <a:schemeClr val="accent4">
                    <a:lumMod val="75000"/>
                  </a:schemeClr>
                </a:solidFill>
                <a:latin typeface="Corbel"/>
              </a:rPr>
              <a:pPr algn="ctr"/>
              <a:t>37469.83</a:t>
            </a:fld>
            <a:endParaRPr lang="en-US" sz="2000">
              <a:solidFill>
                <a:schemeClr val="accent4">
                  <a:lumMod val="75000"/>
                </a:schemeClr>
              </a:solidFill>
            </a:endParaRPr>
          </a:p>
        </xdr:txBody>
      </xdr:sp>
    </xdr:grpSp>
    <xdr:clientData/>
  </xdr:twoCellAnchor>
  <xdr:twoCellAnchor editAs="oneCell">
    <xdr:from>
      <xdr:col>0</xdr:col>
      <xdr:colOff>0</xdr:colOff>
      <xdr:row>40</xdr:row>
      <xdr:rowOff>43815</xdr:rowOff>
    </xdr:from>
    <xdr:to>
      <xdr:col>4</xdr:col>
      <xdr:colOff>552450</xdr:colOff>
      <xdr:row>53</xdr:row>
      <xdr:rowOff>158115</xdr:rowOff>
    </xdr:to>
    <mc:AlternateContent xmlns:mc="http://schemas.openxmlformats.org/markup-compatibility/2006" xmlns:a14="http://schemas.microsoft.com/office/drawing/2010/main">
      <mc:Choice Requires="a14">
        <xdr:graphicFrame macro="">
          <xdr:nvGraphicFramePr>
            <xdr:cNvPr id="2" name="Customer_Segment">
              <a:extLst>
                <a:ext uri="{FF2B5EF4-FFF2-40B4-BE49-F238E27FC236}">
                  <a16:creationId xmlns:a16="http://schemas.microsoft.com/office/drawing/2014/main" id="{81CD75BC-FF8E-4540-AD9A-9C50E4A79D6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0" y="7282815"/>
              <a:ext cx="299085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608098</xdr:colOff>
      <xdr:row>4</xdr:row>
      <xdr:rowOff>57150</xdr:rowOff>
    </xdr:from>
    <xdr:to>
      <xdr:col>22</xdr:col>
      <xdr:colOff>438150</xdr:colOff>
      <xdr:row>10</xdr:row>
      <xdr:rowOff>152400</xdr:rowOff>
    </xdr:to>
    <xdr:grpSp>
      <xdr:nvGrpSpPr>
        <xdr:cNvPr id="36" name="Group 35">
          <a:extLst>
            <a:ext uri="{FF2B5EF4-FFF2-40B4-BE49-F238E27FC236}">
              <a16:creationId xmlns:a16="http://schemas.microsoft.com/office/drawing/2014/main" id="{6D8D9727-E798-4E65-A761-528153B440C6}"/>
            </a:ext>
          </a:extLst>
        </xdr:cNvPr>
        <xdr:cNvGrpSpPr/>
      </xdr:nvGrpSpPr>
      <xdr:grpSpPr>
        <a:xfrm>
          <a:off x="11027620" y="786020"/>
          <a:ext cx="2894617" cy="1188554"/>
          <a:chOff x="66675" y="762000"/>
          <a:chExt cx="2876550" cy="1181100"/>
        </a:xfrm>
      </xdr:grpSpPr>
      <xdr:sp macro="" textlink="">
        <xdr:nvSpPr>
          <xdr:cNvPr id="37" name="Rectangle: Rounded Corners 36">
            <a:extLst>
              <a:ext uri="{FF2B5EF4-FFF2-40B4-BE49-F238E27FC236}">
                <a16:creationId xmlns:a16="http://schemas.microsoft.com/office/drawing/2014/main" id="{68B7103C-60C1-4C28-BE89-95560F018328}"/>
              </a:ext>
            </a:extLst>
          </xdr:cNvPr>
          <xdr:cNvSpPr/>
        </xdr:nvSpPr>
        <xdr:spPr>
          <a:xfrm>
            <a:off x="66675" y="762000"/>
            <a:ext cx="2876550"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tx1"/>
                </a:solidFill>
              </a:rPr>
              <a:t>AOV</a:t>
            </a:r>
            <a:endParaRPr lang="en-IN" sz="2000" b="1">
              <a:solidFill>
                <a:schemeClr val="tx1"/>
              </a:solidFill>
            </a:endParaRPr>
          </a:p>
        </xdr:txBody>
      </xdr:sp>
      <xdr:sp macro="" textlink="Pivot!C76">
        <xdr:nvSpPr>
          <xdr:cNvPr id="38" name="Rectangle 37">
            <a:extLst>
              <a:ext uri="{FF2B5EF4-FFF2-40B4-BE49-F238E27FC236}">
                <a16:creationId xmlns:a16="http://schemas.microsoft.com/office/drawing/2014/main" id="{0C41C50F-39BE-4ACA-88C3-23BD6FE7FFD9}"/>
              </a:ext>
            </a:extLst>
          </xdr:cNvPr>
          <xdr:cNvSpPr/>
        </xdr:nvSpPr>
        <xdr:spPr>
          <a:xfrm>
            <a:off x="873571" y="1421353"/>
            <a:ext cx="1381125" cy="41910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18D55893-D589-4ED4-BD7E-CAFFC40C872D}" type="TxLink">
              <a:rPr lang="en-US" sz="2000" b="0" i="0" u="none" strike="noStrike">
                <a:solidFill>
                  <a:schemeClr val="accent4">
                    <a:lumMod val="75000"/>
                  </a:schemeClr>
                </a:solidFill>
                <a:latin typeface="Corbel"/>
              </a:rPr>
              <a:pPr algn="ctr"/>
              <a:t>1311.11</a:t>
            </a:fld>
            <a:endParaRPr lang="en-US" sz="2000">
              <a:solidFill>
                <a:schemeClr val="accent4">
                  <a:lumMod val="75000"/>
                </a:schemeClr>
              </a:solidFill>
            </a:endParaRPr>
          </a:p>
        </xdr:txBody>
      </xdr:sp>
    </xdr:grpSp>
    <xdr:clientData/>
  </xdr:twoCellAnchor>
  <xdr:twoCellAnchor>
    <xdr:from>
      <xdr:col>23</xdr:col>
      <xdr:colOff>326577</xdr:colOff>
      <xdr:row>11</xdr:row>
      <xdr:rowOff>12095</xdr:rowOff>
    </xdr:from>
    <xdr:to>
      <xdr:col>36</xdr:col>
      <xdr:colOff>517076</xdr:colOff>
      <xdr:row>73</xdr:row>
      <xdr:rowOff>12095</xdr:rowOff>
    </xdr:to>
    <xdr:sp macro="" textlink="">
      <xdr:nvSpPr>
        <xdr:cNvPr id="39" name="Rectangle: Rounded Corners 38">
          <a:extLst>
            <a:ext uri="{FF2B5EF4-FFF2-40B4-BE49-F238E27FC236}">
              <a16:creationId xmlns:a16="http://schemas.microsoft.com/office/drawing/2014/main" id="{3F172DC3-A445-4B21-B78D-44E0AEB04462}"/>
            </a:ext>
          </a:extLst>
        </xdr:cNvPr>
        <xdr:cNvSpPr/>
      </xdr:nvSpPr>
      <xdr:spPr>
        <a:xfrm>
          <a:off x="14236101" y="2007809"/>
          <a:ext cx="8052404" cy="11248572"/>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rPr>
            <a:t>SUMMARY</a:t>
          </a:r>
        </a:p>
        <a:p>
          <a:r>
            <a:rPr lang="en-IN" sz="2000">
              <a:solidFill>
                <a:srgbClr val="00B050"/>
              </a:solidFill>
            </a:rPr>
            <a:t>-&gt; This sales dataset analysis provides insights into </a:t>
          </a:r>
          <a:r>
            <a:rPr lang="en-IN" sz="2000" b="1">
              <a:solidFill>
                <a:srgbClr val="00B050"/>
              </a:solidFill>
            </a:rPr>
            <a:t>business performance, customer behavior, and regional sales distribution</a:t>
          </a:r>
          <a:r>
            <a:rPr lang="en-IN" sz="2000">
              <a:solidFill>
                <a:srgbClr val="00B050"/>
              </a:solidFill>
            </a:rPr>
            <a:t>. The dashboard highlights key performance indicators such as </a:t>
          </a:r>
          <a:r>
            <a:rPr lang="en-IN" sz="2000" b="1">
              <a:solidFill>
                <a:srgbClr val="00B050"/>
              </a:solidFill>
            </a:rPr>
            <a:t>Total Sales, Total Profit and Average Order Value</a:t>
          </a:r>
          <a:r>
            <a:rPr lang="en-IN" sz="2000">
              <a:solidFill>
                <a:srgbClr val="00B050"/>
              </a:solidFill>
            </a:rPr>
            <a:t> to measure overall business performance.</a:t>
          </a:r>
        </a:p>
        <a:p>
          <a:r>
            <a:rPr lang="en-IN" sz="2000">
              <a:solidFill>
                <a:srgbClr val="FF0000"/>
              </a:solidFill>
            </a:rPr>
            <a:t>-&gt; The analysis shows that </a:t>
          </a:r>
          <a:r>
            <a:rPr lang="en-IN" sz="2000" b="1">
              <a:solidFill>
                <a:srgbClr val="FF0000"/>
              </a:solidFill>
            </a:rPr>
            <a:t>Electronics is the dominant product category</a:t>
          </a:r>
          <a:r>
            <a:rPr lang="en-IN" sz="2000">
              <a:solidFill>
                <a:srgbClr val="FF0000"/>
              </a:solidFill>
            </a:rPr>
            <a:t>, contributing the largest share of total revenue compared to Furniture and Appliances. This indicates that the business heavily relies on electronics products for revenue generation.</a:t>
          </a:r>
        </a:p>
        <a:p>
          <a:r>
            <a:rPr lang="en-IN" sz="2000">
              <a:solidFill>
                <a:schemeClr val="accent2">
                  <a:lumMod val="50000"/>
                </a:schemeClr>
              </a:solidFill>
            </a:rPr>
            <a:t>-&gt; From a </a:t>
          </a:r>
          <a:r>
            <a:rPr lang="en-IN" sz="2000" b="1">
              <a:solidFill>
                <a:schemeClr val="accent2">
                  <a:lumMod val="50000"/>
                </a:schemeClr>
              </a:solidFill>
            </a:rPr>
            <a:t>regional perspective</a:t>
          </a:r>
          <a:r>
            <a:rPr lang="en-IN" sz="2000">
              <a:solidFill>
                <a:schemeClr val="accent2">
                  <a:lumMod val="50000"/>
                </a:schemeClr>
              </a:solidFill>
            </a:rPr>
            <a:t>, the </a:t>
          </a:r>
          <a:r>
            <a:rPr lang="en-IN" sz="2000" b="1">
              <a:solidFill>
                <a:schemeClr val="accent2">
                  <a:lumMod val="50000"/>
                </a:schemeClr>
              </a:solidFill>
            </a:rPr>
            <a:t>East region generates the highest sales</a:t>
          </a:r>
          <a:r>
            <a:rPr lang="en-IN" sz="2000">
              <a:solidFill>
                <a:schemeClr val="accent2">
                  <a:lumMod val="50000"/>
                </a:schemeClr>
              </a:solidFill>
            </a:rPr>
            <a:t>, making it the strongest performing market, while the </a:t>
          </a:r>
          <a:r>
            <a:rPr lang="en-IN" sz="2000" b="1">
              <a:solidFill>
                <a:schemeClr val="accent2">
                  <a:lumMod val="50000"/>
                </a:schemeClr>
              </a:solidFill>
            </a:rPr>
            <a:t>South region records the lowest sales</a:t>
          </a:r>
          <a:r>
            <a:rPr lang="en-IN" sz="2000">
              <a:solidFill>
                <a:schemeClr val="accent2">
                  <a:lumMod val="50000"/>
                </a:schemeClr>
              </a:solidFill>
            </a:rPr>
            <a:t>, suggesting potential opportunities for market expansion and targeted marketing strategies.</a:t>
          </a:r>
        </a:p>
        <a:p>
          <a:r>
            <a:rPr lang="en-IN" sz="2000">
              <a:solidFill>
                <a:schemeClr val="accent6">
                  <a:lumMod val="75000"/>
                </a:schemeClr>
              </a:solidFill>
            </a:rPr>
            <a:t>-&gt; The </a:t>
          </a:r>
          <a:r>
            <a:rPr lang="en-IN" sz="2000" b="1">
              <a:solidFill>
                <a:schemeClr val="accent6">
                  <a:lumMod val="75000"/>
                </a:schemeClr>
              </a:solidFill>
            </a:rPr>
            <a:t>customer segment analysis</a:t>
          </a:r>
          <a:r>
            <a:rPr lang="en-IN" sz="2000">
              <a:solidFill>
                <a:schemeClr val="accent6">
                  <a:lumMod val="75000"/>
                </a:schemeClr>
              </a:solidFill>
            </a:rPr>
            <a:t> reveals that </a:t>
          </a:r>
          <a:r>
            <a:rPr lang="en-IN" sz="2000" b="1">
              <a:solidFill>
                <a:schemeClr val="accent6">
                  <a:lumMod val="75000"/>
                </a:schemeClr>
              </a:solidFill>
            </a:rPr>
            <a:t>STANDARD customers contribute the highest revenue</a:t>
          </a:r>
          <a:r>
            <a:rPr lang="en-IN" sz="2000">
              <a:solidFill>
                <a:schemeClr val="accent6">
                  <a:lumMod val="75000"/>
                </a:schemeClr>
              </a:solidFill>
            </a:rPr>
            <a:t>, followed closely by Premium customers, while Basic customers generate comparatively lower sales. This suggests that focusing on </a:t>
          </a:r>
          <a:r>
            <a:rPr lang="en-IN" sz="2000" b="1">
              <a:solidFill>
                <a:schemeClr val="accent6">
                  <a:lumMod val="75000"/>
                </a:schemeClr>
              </a:solidFill>
            </a:rPr>
            <a:t>customer retention and converting Basic customers into Standard customers</a:t>
          </a:r>
          <a:r>
            <a:rPr lang="en-IN" sz="2000">
              <a:solidFill>
                <a:schemeClr val="accent6">
                  <a:lumMod val="75000"/>
                </a:schemeClr>
              </a:solidFill>
            </a:rPr>
            <a:t> could significantly increase overall revenue.</a:t>
          </a:r>
        </a:p>
        <a:p>
          <a:r>
            <a:rPr lang="en-IN" sz="2000">
              <a:solidFill>
                <a:schemeClr val="tx2">
                  <a:lumMod val="75000"/>
                </a:schemeClr>
              </a:solidFill>
            </a:rPr>
            <a:t>-&gt; The </a:t>
          </a:r>
          <a:r>
            <a:rPr lang="en-IN" sz="2000" b="1">
              <a:solidFill>
                <a:schemeClr val="tx2">
                  <a:lumMod val="75000"/>
                </a:schemeClr>
              </a:solidFill>
            </a:rPr>
            <a:t>payment method distribution</a:t>
          </a:r>
          <a:r>
            <a:rPr lang="en-IN" sz="2000">
              <a:solidFill>
                <a:schemeClr val="tx2">
                  <a:lumMod val="75000"/>
                </a:schemeClr>
              </a:solidFill>
            </a:rPr>
            <a:t> indicates that </a:t>
          </a:r>
          <a:r>
            <a:rPr lang="en-IN" sz="2000" b="1">
              <a:solidFill>
                <a:schemeClr val="tx2">
                  <a:lumMod val="75000"/>
                </a:schemeClr>
              </a:solidFill>
            </a:rPr>
            <a:t>digital payments such as Credit Card, PayPal, and Debit Card are widely preferred over cash</a:t>
          </a:r>
          <a:r>
            <a:rPr lang="en-IN" sz="2000">
              <a:solidFill>
                <a:schemeClr val="tx2">
                  <a:lumMod val="75000"/>
                </a:schemeClr>
              </a:solidFill>
            </a:rPr>
            <a:t>, highlighting the growing adoption of digital payment methods among customers.</a:t>
          </a:r>
        </a:p>
        <a:p>
          <a:r>
            <a:rPr lang="en-IN" sz="2000">
              <a:solidFill>
                <a:schemeClr val="accent4">
                  <a:lumMod val="50000"/>
                </a:schemeClr>
              </a:solidFill>
            </a:rPr>
            <a:t>-&gt; Additionally, the </a:t>
          </a:r>
          <a:r>
            <a:rPr lang="en-IN" sz="2000" b="1">
              <a:solidFill>
                <a:schemeClr val="accent4">
                  <a:lumMod val="50000"/>
                </a:schemeClr>
              </a:solidFill>
            </a:rPr>
            <a:t>sales trend analysis over time</a:t>
          </a:r>
          <a:r>
            <a:rPr lang="en-IN" sz="2000">
              <a:solidFill>
                <a:schemeClr val="accent4">
                  <a:lumMod val="50000"/>
                </a:schemeClr>
              </a:solidFill>
            </a:rPr>
            <a:t> helps identify purchasing patterns and seasonal fluctuations, allowing the business to plan inventory and promotional strategies more effectively.</a:t>
          </a:r>
        </a:p>
        <a:p>
          <a:r>
            <a:rPr lang="en-IN" sz="2000">
              <a:solidFill>
                <a:schemeClr val="accent4">
                  <a:lumMod val="75000"/>
                </a:schemeClr>
              </a:solidFill>
            </a:rPr>
            <a:t>" Overall, the dashboard enables stakeholders to </a:t>
          </a:r>
          <a:r>
            <a:rPr lang="en-IN" sz="2000" b="1">
              <a:solidFill>
                <a:schemeClr val="accent4">
                  <a:lumMod val="75000"/>
                </a:schemeClr>
              </a:solidFill>
            </a:rPr>
            <a:t>monitor sales performance, identify high-performing categories and regions, understand customer segments, and support data-driven decision making to improve profitability and business growth</a:t>
          </a:r>
          <a:r>
            <a:rPr lang="en-IN" sz="2000">
              <a:solidFill>
                <a:schemeClr val="accent4">
                  <a:lumMod val="75000"/>
                </a:schemeClr>
              </a:solidFill>
            </a:rPr>
            <a:t>. "</a:t>
          </a:r>
        </a:p>
        <a:p>
          <a:pPr algn="l"/>
          <a:endParaRPr lang="en-IN" sz="18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 JASANI" refreshedDate="46080.773842013892" createdVersion="7" refreshedVersion="7" minRefreshableVersion="3" recordCount="250" xr:uid="{3180F5AD-D9F0-423B-BA57-C0DF11D164F0}">
  <cacheSource type="worksheet">
    <worksheetSource name="Table1"/>
  </cacheSource>
  <cacheFields count="27">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64">
      <sharedItems containsSemiMixedTypes="0" containsNonDate="0" containsDate="1" containsString="0" minDate="2024-04-11T00:00:00" maxDate="2025-04-12T00:00:00"/>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66">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26" base="12">
        <rangePr groupBy="months" startDate="2021-07-18T00:00:00" endDate="2024-04-12T00:00:00"/>
        <groupItems count="14">
          <s v="&lt;18-07-2021"/>
          <s v="Jan"/>
          <s v="Feb"/>
          <s v="Mar"/>
          <s v="Apr"/>
          <s v="May"/>
          <s v="Jun"/>
          <s v="Jul"/>
          <s v="Aug"/>
          <s v="Sep"/>
          <s v="Oct"/>
          <s v="Nov"/>
          <s v="Dec"/>
          <s v="&gt;12-04-2024"/>
        </groupItems>
      </fieldGroup>
    </cacheField>
    <cacheField name="Total_Amount" numFmtId="166">
      <sharedItems containsSemiMixedTypes="0" containsString="0" containsNumber="1" minValue="59.99" maxValue="4499.95"/>
    </cacheField>
    <cacheField name="Customer Tenure" numFmtId="0">
      <sharedItems containsSemiMixedTypes="0" containsString="0" containsNumber="1" containsInteger="1" minValue="1" maxValue="4"/>
    </cacheField>
    <cacheField name="Months_Since_Purchase" numFmtId="0">
      <sharedItems containsSemiMixedTypes="0" containsString="0" containsNumber="1" containsInteger="1" minValue="10" maxValue="22"/>
    </cacheField>
    <cacheField name="customer status" numFmtId="0">
      <sharedItems/>
    </cacheField>
    <cacheField name="Transaction_Month_End" numFmtId="165">
      <sharedItems containsSemiMixedTypes="0" containsNonDate="0" containsDate="1" containsString="0" minDate="2024-04-30T00:00:00" maxDate="2025-05-01T00:00:00" count="13">
        <d v="2024-04-30T00:00:00"/>
        <d v="2024-05-31T00:00:00"/>
        <d v="2024-06-30T00:00:00"/>
        <d v="2024-07-31T00:00:00"/>
        <d v="2024-08-31T00:00:00"/>
        <d v="2024-09-30T00:00:00"/>
        <d v="2024-10-31T00:00:00"/>
        <d v="2024-11-30T00:00:00"/>
        <d v="2024-12-31T00:00:00"/>
        <d v="2025-01-31T00:00:00"/>
        <d v="2025-02-28T00:00:00"/>
        <d v="2025-03-31T00:00:00"/>
        <d v="2025-04-30T00:00:00"/>
      </sharedItems>
      <fieldGroup par="24" base="17">
        <rangePr groupBy="months" startDate="2024-04-30T00:00:00" endDate="2025-05-01T00:00:00"/>
        <groupItems count="14">
          <s v="&lt;30-04-2024"/>
          <s v="Jan"/>
          <s v="Feb"/>
          <s v="Mar"/>
          <s v="Apr"/>
          <s v="May"/>
          <s v="Jun"/>
          <s v="Jul"/>
          <s v="Aug"/>
          <s v="Sep"/>
          <s v="Oct"/>
          <s v="Nov"/>
          <s v="Dec"/>
          <s v="&gt;01-05-2025"/>
        </groupItems>
      </fieldGroup>
    </cacheField>
    <cacheField name="Sales_Status" numFmtId="0">
      <sharedItems count="3">
        <s v="High"/>
        <s v="Low"/>
        <s v="Medium"/>
      </sharedItems>
    </cacheField>
    <cacheField name="Profit" numFmtId="0">
      <sharedItems containsSemiMixedTypes="0" containsString="0" containsNumber="1" minValue="13.087253695551178" maxValue="981.69673724446602"/>
    </cacheField>
    <cacheField name="Customer_Total_Spend" numFmtId="0">
      <sharedItems containsSemiMixedTypes="0" containsString="0" containsNumber="1" minValue="179.97" maxValue="15659.65"/>
    </cacheField>
    <cacheField name="High_Value_Customer" numFmtId="0">
      <sharedItems count="2">
        <s v="Yes"/>
        <s v="No"/>
      </sharedItems>
    </cacheField>
    <cacheField name="Product_Count" numFmtId="0">
      <sharedItems containsSemiMixedTypes="0" containsString="0" containsNumber="1" containsInteger="1" minValue="14" maxValue="35"/>
    </cacheField>
    <cacheField name="Quarters" numFmtId="0" databaseField="0">
      <fieldGroup base="17">
        <rangePr groupBy="quarters" startDate="2024-04-30T00:00:00" endDate="2025-05-01T00:00:00"/>
        <groupItems count="6">
          <s v="&lt;30-04-2024"/>
          <s v="Qtr1"/>
          <s v="Qtr2"/>
          <s v="Qtr3"/>
          <s v="Qtr4"/>
          <s v="&gt;01-05-2025"/>
        </groupItems>
      </fieldGroup>
    </cacheField>
    <cacheField name="Years" numFmtId="0" databaseField="0">
      <fieldGroup base="17">
        <rangePr groupBy="years" startDate="2024-04-30T00:00:00" endDate="2025-05-01T00:00:00"/>
        <groupItems count="4">
          <s v="&lt;30-04-2024"/>
          <s v="2024"/>
          <s v="2025"/>
          <s v="&gt;01-05-2025"/>
        </groupItems>
      </fieldGroup>
    </cacheField>
    <cacheField name="Quarters2" numFmtId="0" databaseField="0">
      <fieldGroup base="12">
        <rangePr groupBy="quarters" startDate="2021-07-18T00:00:00" endDate="2024-04-12T00:00:00"/>
        <groupItems count="6">
          <s v="&lt;18-07-2021"/>
          <s v="Qtr1"/>
          <s v="Qtr2"/>
          <s v="Qtr3"/>
          <s v="Qtr4"/>
          <s v="&gt;12-04-2024"/>
        </groupItems>
      </fieldGroup>
    </cacheField>
    <cacheField name="Years2"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1717027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d v="2024-04-11T00:00:00"/>
    <x v="0"/>
    <s v="Paul Baker"/>
    <s v="P009"/>
    <x v="0"/>
    <x v="0"/>
    <n v="3"/>
    <n v="249.99"/>
    <x v="0"/>
    <x v="0"/>
    <x v="0"/>
    <x v="0"/>
    <n v="749.97"/>
    <n v="4"/>
    <n v="22"/>
    <s v="Inactive"/>
    <x v="0"/>
    <x v="0"/>
    <n v="163.6113961335642"/>
    <n v="8309.739999999998"/>
    <x v="0"/>
    <n v="26"/>
  </r>
  <r>
    <x v="1"/>
    <d v="2024-04-14T00:00:00"/>
    <x v="1"/>
    <s v="Joseph Jackson"/>
    <s v="P009"/>
    <x v="0"/>
    <x v="0"/>
    <n v="3"/>
    <n v="249.99"/>
    <x v="1"/>
    <x v="0"/>
    <x v="1"/>
    <x v="1"/>
    <n v="749.97"/>
    <n v="4"/>
    <n v="22"/>
    <s v="Inactive"/>
    <x v="0"/>
    <x v="0"/>
    <n v="163.6113961335642"/>
    <n v="6949.84"/>
    <x v="0"/>
    <n v="26"/>
  </r>
  <r>
    <x v="2"/>
    <d v="2024-04-17T00:00:00"/>
    <x v="2"/>
    <s v="Kevin Scott"/>
    <s v="P005"/>
    <x v="1"/>
    <x v="1"/>
    <n v="3"/>
    <n v="59.99"/>
    <x v="2"/>
    <x v="1"/>
    <x v="2"/>
    <x v="2"/>
    <n v="179.97"/>
    <n v="2"/>
    <n v="22"/>
    <s v="Inactive"/>
    <x v="0"/>
    <x v="1"/>
    <n v="39.261761086653529"/>
    <n v="3259.87"/>
    <x v="1"/>
    <n v="29"/>
  </r>
  <r>
    <x v="3"/>
    <d v="2024-04-18T00:00:00"/>
    <x v="3"/>
    <s v="Kathleen Bennett"/>
    <s v="P005"/>
    <x v="1"/>
    <x v="1"/>
    <n v="3"/>
    <n v="59.99"/>
    <x v="0"/>
    <x v="2"/>
    <x v="1"/>
    <x v="3"/>
    <n v="179.97"/>
    <n v="2"/>
    <n v="22"/>
    <s v="Inactive"/>
    <x v="0"/>
    <x v="1"/>
    <n v="39.261761086653529"/>
    <n v="4309.8099999999995"/>
    <x v="1"/>
    <n v="29"/>
  </r>
  <r>
    <x v="4"/>
    <d v="2024-04-18T00:00:00"/>
    <x v="4"/>
    <s v="Michael Brown"/>
    <s v="P008"/>
    <x v="2"/>
    <x v="2"/>
    <n v="5"/>
    <n v="149.99"/>
    <x v="1"/>
    <x v="2"/>
    <x v="1"/>
    <x v="4"/>
    <n v="749.95"/>
    <n v="2"/>
    <n v="22"/>
    <s v="Inactive"/>
    <x v="0"/>
    <x v="0"/>
    <n v="163.60703298847483"/>
    <n v="6169.7400000000007"/>
    <x v="0"/>
    <n v="35"/>
  </r>
  <r>
    <x v="5"/>
    <d v="2024-04-21T00:00:00"/>
    <x v="5"/>
    <s v="Dorothy Nelson"/>
    <s v="P005"/>
    <x v="1"/>
    <x v="1"/>
    <n v="2"/>
    <n v="59.99"/>
    <x v="0"/>
    <x v="3"/>
    <x v="2"/>
    <x v="5"/>
    <n v="119.98"/>
    <n v="3"/>
    <n v="22"/>
    <s v="Inactive"/>
    <x v="0"/>
    <x v="1"/>
    <n v="26.174507391102356"/>
    <n v="8269.7900000000009"/>
    <x v="0"/>
    <n v="29"/>
  </r>
  <r>
    <x v="6"/>
    <d v="2024-04-21T00:00:00"/>
    <x v="5"/>
    <s v="Dorothy Nelson"/>
    <s v="P003"/>
    <x v="3"/>
    <x v="0"/>
    <n v="5"/>
    <n v="149.99"/>
    <x v="1"/>
    <x v="0"/>
    <x v="2"/>
    <x v="6"/>
    <n v="749.95"/>
    <n v="4"/>
    <n v="22"/>
    <s v="Inactive"/>
    <x v="0"/>
    <x v="0"/>
    <n v="163.60703298847483"/>
    <n v="8269.7900000000009"/>
    <x v="0"/>
    <n v="16"/>
  </r>
  <r>
    <x v="7"/>
    <d v="2024-04-21T00:00:00"/>
    <x v="6"/>
    <s v="Charles Allen"/>
    <s v="P005"/>
    <x v="1"/>
    <x v="1"/>
    <n v="3"/>
    <n v="59.99"/>
    <x v="3"/>
    <x v="1"/>
    <x v="0"/>
    <x v="7"/>
    <n v="179.97"/>
    <n v="2"/>
    <n v="22"/>
    <s v="Inactive"/>
    <x v="0"/>
    <x v="1"/>
    <n v="39.261761086653529"/>
    <n v="5089.7300000000005"/>
    <x v="0"/>
    <n v="29"/>
  </r>
  <r>
    <x v="8"/>
    <d v="2024-04-23T00:00:00"/>
    <x v="7"/>
    <s v="Robert Thomas"/>
    <s v="P001"/>
    <x v="4"/>
    <x v="0"/>
    <n v="3"/>
    <n v="899.99"/>
    <x v="2"/>
    <x v="4"/>
    <x v="2"/>
    <x v="8"/>
    <n v="2699.97"/>
    <n v="2"/>
    <n v="22"/>
    <s v="Inactive"/>
    <x v="0"/>
    <x v="0"/>
    <n v="589.01804234667964"/>
    <n v="3509.8999999999996"/>
    <x v="1"/>
    <n v="24"/>
  </r>
  <r>
    <x v="9"/>
    <d v="2024-04-26T00:00:00"/>
    <x v="8"/>
    <s v="Karen Hill"/>
    <s v="P005"/>
    <x v="1"/>
    <x v="1"/>
    <n v="3"/>
    <n v="59.99"/>
    <x v="0"/>
    <x v="3"/>
    <x v="1"/>
    <x v="9"/>
    <n v="179.97"/>
    <n v="2"/>
    <n v="22"/>
    <s v="Inactive"/>
    <x v="0"/>
    <x v="1"/>
    <n v="39.261761086653529"/>
    <n v="8009.7699999999995"/>
    <x v="0"/>
    <n v="29"/>
  </r>
  <r>
    <x v="10"/>
    <d v="2024-04-26T00:00:00"/>
    <x v="9"/>
    <s v="Susan Green"/>
    <s v="P008"/>
    <x v="2"/>
    <x v="2"/>
    <n v="1"/>
    <n v="149.99"/>
    <x v="1"/>
    <x v="3"/>
    <x v="2"/>
    <x v="10"/>
    <n v="149.99"/>
    <n v="2"/>
    <n v="22"/>
    <s v="Inactive"/>
    <x v="0"/>
    <x v="1"/>
    <n v="32.721406597694966"/>
    <n v="1979.89"/>
    <x v="1"/>
    <n v="35"/>
  </r>
  <r>
    <x v="11"/>
    <d v="2024-04-26T00:00:00"/>
    <x v="3"/>
    <s v="Kathleen Bennett"/>
    <s v="P008"/>
    <x v="2"/>
    <x v="2"/>
    <n v="5"/>
    <n v="149.99"/>
    <x v="3"/>
    <x v="2"/>
    <x v="0"/>
    <x v="11"/>
    <n v="749.95"/>
    <n v="3"/>
    <n v="22"/>
    <s v="Inactive"/>
    <x v="0"/>
    <x v="0"/>
    <n v="163.60703298847483"/>
    <n v="4309.8099999999995"/>
    <x v="1"/>
    <n v="35"/>
  </r>
  <r>
    <x v="12"/>
    <d v="2024-04-26T00:00:00"/>
    <x v="10"/>
    <s v="Peter Richardson"/>
    <s v="P008"/>
    <x v="2"/>
    <x v="2"/>
    <n v="3"/>
    <n v="149.99"/>
    <x v="0"/>
    <x v="2"/>
    <x v="1"/>
    <x v="12"/>
    <n v="449.97"/>
    <n v="3"/>
    <n v="22"/>
    <s v="Inactive"/>
    <x v="0"/>
    <x v="2"/>
    <n v="98.164219793084911"/>
    <n v="5949.85"/>
    <x v="0"/>
    <n v="35"/>
  </r>
  <r>
    <x v="13"/>
    <d v="2024-04-27T00:00:00"/>
    <x v="11"/>
    <s v="Dennis Gray"/>
    <s v="P005"/>
    <x v="1"/>
    <x v="1"/>
    <n v="3"/>
    <n v="59.99"/>
    <x v="1"/>
    <x v="2"/>
    <x v="2"/>
    <x v="13"/>
    <n v="179.97"/>
    <n v="1"/>
    <n v="22"/>
    <s v="Inactive"/>
    <x v="0"/>
    <x v="1"/>
    <n v="39.261761086653529"/>
    <n v="479.91999999999996"/>
    <x v="1"/>
    <n v="29"/>
  </r>
  <r>
    <x v="14"/>
    <d v="2024-04-27T00:00:00"/>
    <x v="12"/>
    <s v="Michelle Rogers"/>
    <s v="P002"/>
    <x v="5"/>
    <x v="0"/>
    <n v="3"/>
    <n v="699.99"/>
    <x v="1"/>
    <x v="3"/>
    <x v="0"/>
    <x v="14"/>
    <n v="2099.9699999999998"/>
    <n v="4"/>
    <n v="22"/>
    <s v="Inactive"/>
    <x v="0"/>
    <x v="0"/>
    <n v="458.12368966572097"/>
    <n v="4199.9399999999996"/>
    <x v="1"/>
    <n v="31"/>
  </r>
  <r>
    <x v="15"/>
    <d v="2024-04-27T00:00:00"/>
    <x v="13"/>
    <s v="George Adams"/>
    <s v="P001"/>
    <x v="4"/>
    <x v="0"/>
    <n v="1"/>
    <n v="899.99"/>
    <x v="3"/>
    <x v="2"/>
    <x v="2"/>
    <x v="15"/>
    <n v="899.99"/>
    <n v="3"/>
    <n v="22"/>
    <s v="Inactive"/>
    <x v="0"/>
    <x v="0"/>
    <n v="196.33934744889322"/>
    <n v="3779.93"/>
    <x v="1"/>
    <n v="24"/>
  </r>
  <r>
    <x v="16"/>
    <d v="2024-04-28T00:00:00"/>
    <x v="14"/>
    <s v="Mark Carter"/>
    <s v="P008"/>
    <x v="2"/>
    <x v="2"/>
    <n v="4"/>
    <n v="149.99"/>
    <x v="3"/>
    <x v="2"/>
    <x v="1"/>
    <x v="16"/>
    <n v="599.96"/>
    <n v="1"/>
    <n v="21"/>
    <s v="Inactive"/>
    <x v="0"/>
    <x v="2"/>
    <n v="130.88562639077986"/>
    <n v="15659.65"/>
    <x v="0"/>
    <n v="35"/>
  </r>
  <r>
    <x v="17"/>
    <d v="2024-04-28T00:00:00"/>
    <x v="15"/>
    <s v="Maria Garcia"/>
    <s v="P002"/>
    <x v="5"/>
    <x v="0"/>
    <n v="2"/>
    <n v="699.99"/>
    <x v="0"/>
    <x v="2"/>
    <x v="0"/>
    <x v="17"/>
    <n v="1399.98"/>
    <n v="3"/>
    <n v="21"/>
    <s v="Inactive"/>
    <x v="0"/>
    <x v="0"/>
    <n v="305.41579311048065"/>
    <n v="1909.93"/>
    <x v="1"/>
    <n v="31"/>
  </r>
  <r>
    <x v="18"/>
    <d v="2024-04-28T00:00:00"/>
    <x v="14"/>
    <s v="Mark Carter"/>
    <s v="P001"/>
    <x v="4"/>
    <x v="0"/>
    <n v="4"/>
    <n v="899.99"/>
    <x v="1"/>
    <x v="3"/>
    <x v="2"/>
    <x v="18"/>
    <n v="3599.96"/>
    <n v="2"/>
    <n v="21"/>
    <s v="Inactive"/>
    <x v="0"/>
    <x v="0"/>
    <n v="785.35738979557289"/>
    <n v="15659.65"/>
    <x v="0"/>
    <n v="24"/>
  </r>
  <r>
    <x v="19"/>
    <d v="2024-04-28T00:00:00"/>
    <x v="16"/>
    <s v="Virginia Sanders"/>
    <s v="P009"/>
    <x v="0"/>
    <x v="0"/>
    <n v="3"/>
    <n v="249.99"/>
    <x v="1"/>
    <x v="2"/>
    <x v="1"/>
    <x v="19"/>
    <n v="749.97"/>
    <n v="2"/>
    <n v="21"/>
    <s v="Inactive"/>
    <x v="0"/>
    <x v="0"/>
    <n v="163.6113961335642"/>
    <n v="4789.7900000000009"/>
    <x v="1"/>
    <n v="26"/>
  </r>
  <r>
    <x v="20"/>
    <d v="2024-04-30T00:00:00"/>
    <x v="17"/>
    <s v="Barbara Young"/>
    <s v="P002"/>
    <x v="5"/>
    <x v="0"/>
    <n v="5"/>
    <n v="699.99"/>
    <x v="0"/>
    <x v="3"/>
    <x v="0"/>
    <x v="20"/>
    <n v="3499.95"/>
    <n v="2"/>
    <n v="21"/>
    <s v="Inactive"/>
    <x v="0"/>
    <x v="0"/>
    <n v="763.53948277620168"/>
    <n v="10649.8"/>
    <x v="0"/>
    <n v="31"/>
  </r>
  <r>
    <x v="21"/>
    <d v="2024-05-01T00:00:00"/>
    <x v="18"/>
    <s v="Patricia Moore"/>
    <s v="P002"/>
    <x v="5"/>
    <x v="0"/>
    <n v="4"/>
    <n v="699.99"/>
    <x v="0"/>
    <x v="4"/>
    <x v="2"/>
    <x v="21"/>
    <n v="2799.96"/>
    <n v="4"/>
    <n v="21"/>
    <s v="Inactive"/>
    <x v="1"/>
    <x v="0"/>
    <n v="610.8315862209613"/>
    <n v="9799.73"/>
    <x v="0"/>
    <n v="31"/>
  </r>
  <r>
    <x v="22"/>
    <d v="2024-05-03T00:00:00"/>
    <x v="19"/>
    <s v="Cynthia Price"/>
    <s v="P009"/>
    <x v="0"/>
    <x v="0"/>
    <n v="4"/>
    <n v="249.99"/>
    <x v="2"/>
    <x v="2"/>
    <x v="2"/>
    <x v="22"/>
    <n v="999.96"/>
    <n v="4"/>
    <n v="21"/>
    <s v="Inactive"/>
    <x v="1"/>
    <x v="0"/>
    <n v="218.14852817808563"/>
    <n v="3769.8300000000004"/>
    <x v="1"/>
    <n v="26"/>
  </r>
  <r>
    <x v="23"/>
    <d v="2024-05-04T00:00:00"/>
    <x v="14"/>
    <s v="Mark Carter"/>
    <s v="P007"/>
    <x v="6"/>
    <x v="2"/>
    <n v="4"/>
    <n v="299.99"/>
    <x v="0"/>
    <x v="3"/>
    <x v="1"/>
    <x v="23"/>
    <n v="1199.96"/>
    <n v="3"/>
    <n v="21"/>
    <s v="Inactive"/>
    <x v="1"/>
    <x v="0"/>
    <n v="261.77997907173847"/>
    <n v="15659.65"/>
    <x v="0"/>
    <n v="26"/>
  </r>
  <r>
    <x v="24"/>
    <d v="2024-05-10T00:00:00"/>
    <x v="20"/>
    <s v="Nancy Collins"/>
    <s v="P009"/>
    <x v="0"/>
    <x v="0"/>
    <n v="5"/>
    <n v="249.99"/>
    <x v="1"/>
    <x v="3"/>
    <x v="2"/>
    <x v="24"/>
    <n v="1249.95"/>
    <n v="4"/>
    <n v="21"/>
    <s v="Inactive"/>
    <x v="1"/>
    <x v="0"/>
    <n v="272.685660222607"/>
    <n v="4189.7700000000004"/>
    <x v="1"/>
    <n v="26"/>
  </r>
  <r>
    <x v="25"/>
    <d v="2024-05-12T00:00:00"/>
    <x v="9"/>
    <s v="Susan Green"/>
    <s v="P007"/>
    <x v="6"/>
    <x v="2"/>
    <n v="5"/>
    <n v="299.99"/>
    <x v="2"/>
    <x v="4"/>
    <x v="0"/>
    <x v="25"/>
    <n v="1499.95"/>
    <n v="2"/>
    <n v="21"/>
    <s v="Inactive"/>
    <x v="1"/>
    <x v="0"/>
    <n v="327.22497383967311"/>
    <n v="1979.89"/>
    <x v="1"/>
    <n v="26"/>
  </r>
  <r>
    <x v="26"/>
    <d v="2024-05-12T00:00:00"/>
    <x v="21"/>
    <s v="Linda Martin"/>
    <s v="P004"/>
    <x v="7"/>
    <x v="1"/>
    <n v="3"/>
    <n v="79.989999999999995"/>
    <x v="2"/>
    <x v="4"/>
    <x v="1"/>
    <x v="26"/>
    <n v="239.97"/>
    <n v="2"/>
    <n v="21"/>
    <s v="Inactive"/>
    <x v="1"/>
    <x v="1"/>
    <n v="52.351196354749391"/>
    <n v="1289.9000000000001"/>
    <x v="1"/>
    <n v="14"/>
  </r>
  <r>
    <x v="27"/>
    <d v="2024-05-12T00:00:00"/>
    <x v="18"/>
    <s v="Patricia Moore"/>
    <s v="P010"/>
    <x v="8"/>
    <x v="0"/>
    <n v="5"/>
    <n v="89.99"/>
    <x v="0"/>
    <x v="2"/>
    <x v="1"/>
    <x v="27"/>
    <n v="449.95"/>
    <n v="3"/>
    <n v="21"/>
    <s v="Inactive"/>
    <x v="1"/>
    <x v="2"/>
    <n v="98.159856647995539"/>
    <n v="9799.73"/>
    <x v="0"/>
    <n v="34"/>
  </r>
  <r>
    <x v="28"/>
    <d v="2024-05-13T00:00:00"/>
    <x v="22"/>
    <s v="Helen Roberts"/>
    <s v="P005"/>
    <x v="1"/>
    <x v="1"/>
    <n v="2"/>
    <n v="59.99"/>
    <x v="3"/>
    <x v="0"/>
    <x v="2"/>
    <x v="28"/>
    <n v="119.98"/>
    <n v="2"/>
    <n v="21"/>
    <s v="Inactive"/>
    <x v="1"/>
    <x v="1"/>
    <n v="26.174507391102356"/>
    <n v="6459.79"/>
    <x v="0"/>
    <n v="29"/>
  </r>
  <r>
    <x v="29"/>
    <d v="2024-05-15T00:00:00"/>
    <x v="23"/>
    <s v="Edward Mitchell"/>
    <s v="P005"/>
    <x v="1"/>
    <x v="1"/>
    <n v="4"/>
    <n v="59.99"/>
    <x v="3"/>
    <x v="4"/>
    <x v="2"/>
    <x v="29"/>
    <n v="239.96"/>
    <n v="3"/>
    <n v="21"/>
    <s v="Inactive"/>
    <x v="1"/>
    <x v="1"/>
    <n v="52.349014782204712"/>
    <n v="11919.769999999999"/>
    <x v="0"/>
    <n v="29"/>
  </r>
  <r>
    <x v="30"/>
    <d v="2024-05-15T00:00:00"/>
    <x v="6"/>
    <s v="Charles Allen"/>
    <s v="P006"/>
    <x v="9"/>
    <x v="2"/>
    <n v="5"/>
    <n v="199.99"/>
    <x v="0"/>
    <x v="1"/>
    <x v="2"/>
    <x v="30"/>
    <n v="999.95"/>
    <n v="4"/>
    <n v="21"/>
    <s v="Inactive"/>
    <x v="1"/>
    <x v="0"/>
    <n v="218.14634660554094"/>
    <n v="5089.7300000000005"/>
    <x v="0"/>
    <n v="15"/>
  </r>
  <r>
    <x v="31"/>
    <d v="2024-05-16T00:00:00"/>
    <x v="24"/>
    <s v="Lisa Anderson"/>
    <s v="P008"/>
    <x v="2"/>
    <x v="2"/>
    <n v="2"/>
    <n v="149.99"/>
    <x v="1"/>
    <x v="3"/>
    <x v="0"/>
    <x v="31"/>
    <n v="299.98"/>
    <n v="3"/>
    <n v="21"/>
    <s v="Inactive"/>
    <x v="1"/>
    <x v="1"/>
    <n v="65.442813195389931"/>
    <n v="2039.8000000000002"/>
    <x v="1"/>
    <n v="35"/>
  </r>
  <r>
    <x v="32"/>
    <d v="2024-05-18T00:00:00"/>
    <x v="25"/>
    <s v="Emma Wilson"/>
    <s v="P008"/>
    <x v="2"/>
    <x v="2"/>
    <n v="3"/>
    <n v="149.99"/>
    <x v="1"/>
    <x v="3"/>
    <x v="1"/>
    <x v="32"/>
    <n v="449.97"/>
    <n v="2"/>
    <n v="21"/>
    <s v="Inactive"/>
    <x v="1"/>
    <x v="2"/>
    <n v="98.164219793084911"/>
    <n v="1229.8800000000001"/>
    <x v="1"/>
    <n v="35"/>
  </r>
  <r>
    <x v="33"/>
    <d v="2024-05-20T00:00:00"/>
    <x v="2"/>
    <s v="Kevin Scott"/>
    <s v="P001"/>
    <x v="4"/>
    <x v="0"/>
    <n v="1"/>
    <n v="899.99"/>
    <x v="1"/>
    <x v="3"/>
    <x v="1"/>
    <x v="33"/>
    <n v="899.99"/>
    <n v="4"/>
    <n v="21"/>
    <s v="Inactive"/>
    <x v="1"/>
    <x v="0"/>
    <n v="196.33934744889322"/>
    <n v="3259.87"/>
    <x v="1"/>
    <n v="24"/>
  </r>
  <r>
    <x v="34"/>
    <d v="2024-05-22T00:00:00"/>
    <x v="18"/>
    <s v="Patricia Moore"/>
    <s v="P007"/>
    <x v="6"/>
    <x v="2"/>
    <n v="3"/>
    <n v="299.99"/>
    <x v="1"/>
    <x v="4"/>
    <x v="0"/>
    <x v="34"/>
    <n v="899.97"/>
    <n v="3"/>
    <n v="21"/>
    <s v="Inactive"/>
    <x v="1"/>
    <x v="0"/>
    <n v="196.33498430380385"/>
    <n v="9799.73"/>
    <x v="0"/>
    <n v="26"/>
  </r>
  <r>
    <x v="35"/>
    <d v="2024-05-23T00:00:00"/>
    <x v="24"/>
    <s v="Lisa Anderson"/>
    <s v="P004"/>
    <x v="7"/>
    <x v="1"/>
    <n v="3"/>
    <n v="79.989999999999995"/>
    <x v="0"/>
    <x v="1"/>
    <x v="0"/>
    <x v="35"/>
    <n v="239.97"/>
    <n v="2"/>
    <n v="21"/>
    <s v="Inactive"/>
    <x v="1"/>
    <x v="1"/>
    <n v="52.351196354749391"/>
    <n v="2039.8000000000002"/>
    <x v="1"/>
    <n v="14"/>
  </r>
  <r>
    <x v="36"/>
    <d v="2024-05-26T00:00:00"/>
    <x v="26"/>
    <s v="Steven Turner"/>
    <s v="P006"/>
    <x v="9"/>
    <x v="2"/>
    <n v="3"/>
    <n v="199.99"/>
    <x v="1"/>
    <x v="2"/>
    <x v="1"/>
    <x v="36"/>
    <n v="599.97"/>
    <n v="2"/>
    <n v="21"/>
    <s v="Inactive"/>
    <x v="1"/>
    <x v="2"/>
    <n v="130.88780796332455"/>
    <n v="2649.83"/>
    <x v="1"/>
    <n v="15"/>
  </r>
  <r>
    <x v="37"/>
    <d v="2024-05-28T00:00:00"/>
    <x v="27"/>
    <s v="Jennifer Taylor"/>
    <s v="P002"/>
    <x v="5"/>
    <x v="0"/>
    <n v="5"/>
    <n v="699.99"/>
    <x v="2"/>
    <x v="3"/>
    <x v="2"/>
    <x v="37"/>
    <n v="3499.95"/>
    <n v="4"/>
    <n v="20"/>
    <s v="Inactive"/>
    <x v="1"/>
    <x v="0"/>
    <n v="763.53948277620168"/>
    <n v="4739.8500000000004"/>
    <x v="1"/>
    <n v="31"/>
  </r>
  <r>
    <x v="38"/>
    <d v="2024-05-29T00:00:00"/>
    <x v="28"/>
    <s v="Harry Morgan"/>
    <s v="P010"/>
    <x v="8"/>
    <x v="0"/>
    <n v="3"/>
    <n v="89.99"/>
    <x v="2"/>
    <x v="0"/>
    <x v="1"/>
    <x v="38"/>
    <n v="269.97000000000003"/>
    <n v="2"/>
    <n v="20"/>
    <s v="Inactive"/>
    <x v="1"/>
    <x v="1"/>
    <n v="58.895913988797318"/>
    <n v="5519.8899999999994"/>
    <x v="0"/>
    <n v="34"/>
  </r>
  <r>
    <x v="39"/>
    <d v="2024-05-31T00:00:00"/>
    <x v="29"/>
    <s v="Daniel King"/>
    <s v="P004"/>
    <x v="7"/>
    <x v="1"/>
    <n v="1"/>
    <n v="79.989999999999995"/>
    <x v="0"/>
    <x v="2"/>
    <x v="2"/>
    <x v="39"/>
    <n v="79.989999999999995"/>
    <n v="3"/>
    <n v="20"/>
    <s v="Inactive"/>
    <x v="1"/>
    <x v="1"/>
    <n v="17.450398784916462"/>
    <n v="7309.7999999999993"/>
    <x v="0"/>
    <n v="14"/>
  </r>
  <r>
    <x v="40"/>
    <d v="2024-06-01T00:00:00"/>
    <x v="30"/>
    <s v="Sharon Butler"/>
    <s v="P005"/>
    <x v="1"/>
    <x v="1"/>
    <n v="2"/>
    <n v="59.99"/>
    <x v="0"/>
    <x v="3"/>
    <x v="0"/>
    <x v="40"/>
    <n v="119.98"/>
    <n v="1"/>
    <n v="20"/>
    <s v="Inactive"/>
    <x v="2"/>
    <x v="1"/>
    <n v="26.174507391102356"/>
    <n v="5619.869999999999"/>
    <x v="0"/>
    <n v="29"/>
  </r>
  <r>
    <x v="41"/>
    <d v="2024-06-01T00:00:00"/>
    <x v="6"/>
    <s v="Charles Allen"/>
    <s v="P010"/>
    <x v="8"/>
    <x v="0"/>
    <n v="1"/>
    <n v="89.99"/>
    <x v="0"/>
    <x v="2"/>
    <x v="0"/>
    <x v="41"/>
    <n v="89.99"/>
    <n v="2"/>
    <n v="20"/>
    <s v="Inactive"/>
    <x v="2"/>
    <x v="1"/>
    <n v="19.631971329599107"/>
    <n v="5089.7300000000005"/>
    <x v="0"/>
    <n v="34"/>
  </r>
  <r>
    <x v="42"/>
    <d v="2024-06-03T00:00:00"/>
    <x v="31"/>
    <s v="Sarah Davis"/>
    <s v="P010"/>
    <x v="8"/>
    <x v="0"/>
    <n v="5"/>
    <n v="89.99"/>
    <x v="1"/>
    <x v="4"/>
    <x v="2"/>
    <x v="42"/>
    <n v="449.95"/>
    <n v="4"/>
    <n v="20"/>
    <s v="Inactive"/>
    <x v="2"/>
    <x v="2"/>
    <n v="98.159856647995539"/>
    <n v="5499.8099999999995"/>
    <x v="0"/>
    <n v="34"/>
  </r>
  <r>
    <x v="43"/>
    <d v="2024-06-06T00:00:00"/>
    <x v="1"/>
    <s v="Joseph Jackson"/>
    <s v="P009"/>
    <x v="0"/>
    <x v="0"/>
    <n v="5"/>
    <n v="249.99"/>
    <x v="1"/>
    <x v="4"/>
    <x v="2"/>
    <x v="43"/>
    <n v="1249.95"/>
    <n v="3"/>
    <n v="20"/>
    <s v="Inactive"/>
    <x v="2"/>
    <x v="0"/>
    <n v="272.685660222607"/>
    <n v="6949.84"/>
    <x v="0"/>
    <n v="26"/>
  </r>
  <r>
    <x v="44"/>
    <d v="2024-06-06T00:00:00"/>
    <x v="32"/>
    <s v="Betty Campbell"/>
    <s v="P010"/>
    <x v="8"/>
    <x v="0"/>
    <n v="1"/>
    <n v="89.99"/>
    <x v="1"/>
    <x v="1"/>
    <x v="2"/>
    <x v="44"/>
    <n v="89.99"/>
    <n v="4"/>
    <n v="20"/>
    <s v="Inactive"/>
    <x v="2"/>
    <x v="1"/>
    <n v="19.631971329599107"/>
    <n v="5649.84"/>
    <x v="0"/>
    <n v="34"/>
  </r>
  <r>
    <x v="45"/>
    <d v="2024-06-07T00:00:00"/>
    <x v="4"/>
    <s v="Michael Brown"/>
    <s v="P008"/>
    <x v="2"/>
    <x v="2"/>
    <n v="2"/>
    <n v="149.99"/>
    <x v="0"/>
    <x v="4"/>
    <x v="1"/>
    <x v="45"/>
    <n v="299.98"/>
    <n v="3"/>
    <n v="20"/>
    <s v="Inactive"/>
    <x v="2"/>
    <x v="1"/>
    <n v="65.442813195389931"/>
    <n v="6169.7400000000007"/>
    <x v="0"/>
    <n v="35"/>
  </r>
  <r>
    <x v="46"/>
    <d v="2024-06-09T00:00:00"/>
    <x v="33"/>
    <s v="Julie Foster"/>
    <s v="P005"/>
    <x v="1"/>
    <x v="1"/>
    <n v="4"/>
    <n v="59.99"/>
    <x v="0"/>
    <x v="4"/>
    <x v="2"/>
    <x v="46"/>
    <n v="239.96"/>
    <n v="4"/>
    <n v="20"/>
    <s v="Inactive"/>
    <x v="2"/>
    <x v="1"/>
    <n v="52.349014782204712"/>
    <n v="239.96"/>
    <x v="1"/>
    <n v="29"/>
  </r>
  <r>
    <x v="47"/>
    <d v="2024-06-13T00:00:00"/>
    <x v="24"/>
    <s v="Lisa Anderson"/>
    <s v="P010"/>
    <x v="8"/>
    <x v="0"/>
    <n v="5"/>
    <n v="89.99"/>
    <x v="0"/>
    <x v="0"/>
    <x v="1"/>
    <x v="47"/>
    <n v="449.95"/>
    <n v="4"/>
    <n v="20"/>
    <s v="Inactive"/>
    <x v="2"/>
    <x v="2"/>
    <n v="98.159856647995539"/>
    <n v="2039.8000000000002"/>
    <x v="1"/>
    <n v="34"/>
  </r>
  <r>
    <x v="48"/>
    <d v="2024-06-16T00:00:00"/>
    <x v="18"/>
    <s v="Patricia Moore"/>
    <s v="P010"/>
    <x v="8"/>
    <x v="0"/>
    <n v="2"/>
    <n v="89.99"/>
    <x v="1"/>
    <x v="1"/>
    <x v="1"/>
    <x v="48"/>
    <n v="179.98"/>
    <n v="4"/>
    <n v="20"/>
    <s v="Inactive"/>
    <x v="2"/>
    <x v="1"/>
    <n v="39.263942659198214"/>
    <n v="9799.73"/>
    <x v="0"/>
    <n v="34"/>
  </r>
  <r>
    <x v="49"/>
    <d v="2024-06-16T00:00:00"/>
    <x v="0"/>
    <s v="Paul Baker"/>
    <s v="P001"/>
    <x v="4"/>
    <x v="0"/>
    <n v="5"/>
    <n v="899.99"/>
    <x v="1"/>
    <x v="1"/>
    <x v="2"/>
    <x v="49"/>
    <n v="4499.95"/>
    <n v="3"/>
    <n v="20"/>
    <s v="Inactive"/>
    <x v="2"/>
    <x v="0"/>
    <n v="981.69673724446602"/>
    <n v="8309.739999999998"/>
    <x v="0"/>
    <n v="24"/>
  </r>
  <r>
    <x v="50"/>
    <d v="2024-06-16T00:00:00"/>
    <x v="23"/>
    <s v="Edward Mitchell"/>
    <s v="P001"/>
    <x v="4"/>
    <x v="0"/>
    <n v="5"/>
    <n v="899.99"/>
    <x v="2"/>
    <x v="4"/>
    <x v="1"/>
    <x v="50"/>
    <n v="4499.95"/>
    <n v="2"/>
    <n v="20"/>
    <s v="Inactive"/>
    <x v="2"/>
    <x v="0"/>
    <n v="981.69673724446602"/>
    <n v="11919.769999999999"/>
    <x v="0"/>
    <n v="24"/>
  </r>
  <r>
    <x v="51"/>
    <d v="2024-06-17T00:00:00"/>
    <x v="32"/>
    <s v="Betty Campbell"/>
    <s v="P005"/>
    <x v="1"/>
    <x v="1"/>
    <n v="1"/>
    <n v="59.99"/>
    <x v="3"/>
    <x v="3"/>
    <x v="1"/>
    <x v="51"/>
    <n v="59.99"/>
    <n v="2"/>
    <n v="20"/>
    <s v="Inactive"/>
    <x v="2"/>
    <x v="1"/>
    <n v="13.087253695551178"/>
    <n v="5649.84"/>
    <x v="0"/>
    <n v="29"/>
  </r>
  <r>
    <x v="52"/>
    <d v="2024-06-17T00:00:00"/>
    <x v="27"/>
    <s v="Jennifer Taylor"/>
    <s v="P007"/>
    <x v="6"/>
    <x v="2"/>
    <n v="2"/>
    <n v="299.99"/>
    <x v="3"/>
    <x v="4"/>
    <x v="2"/>
    <x v="52"/>
    <n v="599.98"/>
    <n v="2"/>
    <n v="20"/>
    <s v="Inactive"/>
    <x v="2"/>
    <x v="2"/>
    <n v="130.88998953586923"/>
    <n v="4739.8500000000004"/>
    <x v="1"/>
    <n v="26"/>
  </r>
  <r>
    <x v="53"/>
    <d v="2024-06-25T00:00:00"/>
    <x v="34"/>
    <s v="Raymond Ross"/>
    <s v="P010"/>
    <x v="8"/>
    <x v="0"/>
    <n v="4"/>
    <n v="89.99"/>
    <x v="3"/>
    <x v="1"/>
    <x v="0"/>
    <x v="53"/>
    <n v="359.96"/>
    <n v="2"/>
    <n v="20"/>
    <s v="Inactive"/>
    <x v="2"/>
    <x v="2"/>
    <n v="78.527885318396429"/>
    <n v="3669.8500000000004"/>
    <x v="1"/>
    <n v="34"/>
  </r>
  <r>
    <x v="54"/>
    <d v="2024-06-26T00:00:00"/>
    <x v="2"/>
    <s v="Kevin Scott"/>
    <s v="P004"/>
    <x v="7"/>
    <x v="1"/>
    <n v="1"/>
    <n v="79.989999999999995"/>
    <x v="2"/>
    <x v="0"/>
    <x v="1"/>
    <x v="54"/>
    <n v="79.989999999999995"/>
    <n v="1"/>
    <n v="20"/>
    <s v="Inactive"/>
    <x v="2"/>
    <x v="1"/>
    <n v="17.450398784916462"/>
    <n v="3259.87"/>
    <x v="1"/>
    <n v="14"/>
  </r>
  <r>
    <x v="55"/>
    <d v="2024-06-26T00:00:00"/>
    <x v="7"/>
    <s v="Robert Thomas"/>
    <s v="P010"/>
    <x v="8"/>
    <x v="0"/>
    <n v="2"/>
    <n v="89.99"/>
    <x v="0"/>
    <x v="3"/>
    <x v="0"/>
    <x v="55"/>
    <n v="179.98"/>
    <n v="4"/>
    <n v="20"/>
    <s v="Inactive"/>
    <x v="2"/>
    <x v="1"/>
    <n v="39.263942659198214"/>
    <n v="3509.8999999999996"/>
    <x v="1"/>
    <n v="34"/>
  </r>
  <r>
    <x v="56"/>
    <d v="2024-06-28T00:00:00"/>
    <x v="3"/>
    <s v="Kathleen Bennett"/>
    <s v="P002"/>
    <x v="5"/>
    <x v="0"/>
    <n v="3"/>
    <n v="699.99"/>
    <x v="1"/>
    <x v="4"/>
    <x v="1"/>
    <x v="56"/>
    <n v="2099.9699999999998"/>
    <n v="2"/>
    <n v="19"/>
    <s v="Inactive"/>
    <x v="2"/>
    <x v="0"/>
    <n v="458.12368966572097"/>
    <n v="4309.8099999999995"/>
    <x v="1"/>
    <n v="31"/>
  </r>
  <r>
    <x v="57"/>
    <d v="2024-06-28T00:00:00"/>
    <x v="18"/>
    <s v="Patricia Moore"/>
    <s v="P001"/>
    <x v="4"/>
    <x v="0"/>
    <n v="4"/>
    <n v="899.99"/>
    <x v="1"/>
    <x v="4"/>
    <x v="1"/>
    <x v="57"/>
    <n v="3599.96"/>
    <n v="2"/>
    <n v="19"/>
    <s v="Inactive"/>
    <x v="2"/>
    <x v="0"/>
    <n v="785.35738979557289"/>
    <n v="9799.73"/>
    <x v="0"/>
    <n v="24"/>
  </r>
  <r>
    <x v="58"/>
    <d v="2024-06-29T00:00:00"/>
    <x v="22"/>
    <s v="Helen Roberts"/>
    <s v="P008"/>
    <x v="2"/>
    <x v="2"/>
    <n v="1"/>
    <n v="149.99"/>
    <x v="2"/>
    <x v="4"/>
    <x v="0"/>
    <x v="58"/>
    <n v="149.99"/>
    <n v="3"/>
    <n v="19"/>
    <s v="Inactive"/>
    <x v="2"/>
    <x v="1"/>
    <n v="32.721406597694966"/>
    <n v="6459.79"/>
    <x v="0"/>
    <n v="35"/>
  </r>
  <r>
    <x v="59"/>
    <d v="2024-07-01T00:00:00"/>
    <x v="25"/>
    <s v="Emma Wilson"/>
    <s v="P010"/>
    <x v="8"/>
    <x v="0"/>
    <n v="2"/>
    <n v="89.99"/>
    <x v="2"/>
    <x v="0"/>
    <x v="1"/>
    <x v="59"/>
    <n v="179.98"/>
    <n v="2"/>
    <n v="19"/>
    <s v="Inactive"/>
    <x v="3"/>
    <x v="1"/>
    <n v="39.263942659198214"/>
    <n v="1229.8800000000001"/>
    <x v="1"/>
    <n v="34"/>
  </r>
  <r>
    <x v="60"/>
    <d v="2024-07-02T00:00:00"/>
    <x v="6"/>
    <s v="Charles Allen"/>
    <s v="P010"/>
    <x v="8"/>
    <x v="0"/>
    <n v="1"/>
    <n v="89.99"/>
    <x v="2"/>
    <x v="3"/>
    <x v="2"/>
    <x v="60"/>
    <n v="89.99"/>
    <n v="3"/>
    <n v="19"/>
    <s v="Inactive"/>
    <x v="3"/>
    <x v="1"/>
    <n v="19.631971329599107"/>
    <n v="5089.7300000000005"/>
    <x v="0"/>
    <n v="34"/>
  </r>
  <r>
    <x v="61"/>
    <d v="2024-07-03T00:00:00"/>
    <x v="9"/>
    <s v="Susan Green"/>
    <s v="P010"/>
    <x v="8"/>
    <x v="0"/>
    <n v="1"/>
    <n v="89.99"/>
    <x v="0"/>
    <x v="1"/>
    <x v="2"/>
    <x v="61"/>
    <n v="89.99"/>
    <n v="4"/>
    <n v="19"/>
    <s v="Inactive"/>
    <x v="3"/>
    <x v="1"/>
    <n v="19.631971329599107"/>
    <n v="1979.89"/>
    <x v="1"/>
    <n v="34"/>
  </r>
  <r>
    <x v="62"/>
    <d v="2024-07-03T00:00:00"/>
    <x v="35"/>
    <s v="David Martinez"/>
    <s v="P004"/>
    <x v="7"/>
    <x v="1"/>
    <n v="5"/>
    <n v="79.989999999999995"/>
    <x v="3"/>
    <x v="0"/>
    <x v="0"/>
    <x v="62"/>
    <n v="399.95"/>
    <n v="3"/>
    <n v="19"/>
    <s v="Inactive"/>
    <x v="3"/>
    <x v="2"/>
    <n v="87.251993924582322"/>
    <n v="1809.84"/>
    <x v="1"/>
    <n v="14"/>
  </r>
  <r>
    <x v="63"/>
    <d v="2024-07-08T00:00:00"/>
    <x v="36"/>
    <s v="Margaret Wright"/>
    <s v="P008"/>
    <x v="2"/>
    <x v="2"/>
    <n v="1"/>
    <n v="149.99"/>
    <x v="2"/>
    <x v="2"/>
    <x v="0"/>
    <x v="63"/>
    <n v="149.99"/>
    <n v="4"/>
    <n v="19"/>
    <s v="Inactive"/>
    <x v="3"/>
    <x v="1"/>
    <n v="32.721406597694966"/>
    <n v="2099.88"/>
    <x v="1"/>
    <n v="35"/>
  </r>
  <r>
    <x v="64"/>
    <d v="2024-07-08T00:00:00"/>
    <x v="4"/>
    <s v="Michael Brown"/>
    <s v="P002"/>
    <x v="5"/>
    <x v="0"/>
    <n v="2"/>
    <n v="699.99"/>
    <x v="2"/>
    <x v="4"/>
    <x v="1"/>
    <x v="64"/>
    <n v="1399.98"/>
    <n v="1"/>
    <n v="19"/>
    <s v="Inactive"/>
    <x v="3"/>
    <x v="0"/>
    <n v="305.41579311048065"/>
    <n v="6169.7400000000007"/>
    <x v="0"/>
    <n v="31"/>
  </r>
  <r>
    <x v="65"/>
    <d v="2024-07-08T00:00:00"/>
    <x v="17"/>
    <s v="Barbara Young"/>
    <s v="P010"/>
    <x v="8"/>
    <x v="0"/>
    <n v="5"/>
    <n v="89.99"/>
    <x v="3"/>
    <x v="2"/>
    <x v="1"/>
    <x v="65"/>
    <n v="449.95"/>
    <n v="2"/>
    <n v="19"/>
    <s v="Inactive"/>
    <x v="3"/>
    <x v="2"/>
    <n v="98.159856647995539"/>
    <n v="10649.8"/>
    <x v="0"/>
    <n v="34"/>
  </r>
  <r>
    <x v="66"/>
    <d v="2024-07-09T00:00:00"/>
    <x v="34"/>
    <s v="Raymond Ross"/>
    <s v="P005"/>
    <x v="1"/>
    <x v="1"/>
    <n v="4"/>
    <n v="59.99"/>
    <x v="0"/>
    <x v="1"/>
    <x v="2"/>
    <x v="66"/>
    <n v="239.96"/>
    <n v="4"/>
    <n v="19"/>
    <s v="Inactive"/>
    <x v="3"/>
    <x v="1"/>
    <n v="52.349014782204712"/>
    <n v="3669.8500000000004"/>
    <x v="1"/>
    <n v="29"/>
  </r>
  <r>
    <x v="67"/>
    <d v="2024-07-11T00:00:00"/>
    <x v="1"/>
    <s v="Joseph Jackson"/>
    <s v="P003"/>
    <x v="3"/>
    <x v="0"/>
    <n v="1"/>
    <n v="149.99"/>
    <x v="0"/>
    <x v="0"/>
    <x v="2"/>
    <x v="67"/>
    <n v="149.99"/>
    <n v="3"/>
    <n v="19"/>
    <s v="Inactive"/>
    <x v="3"/>
    <x v="1"/>
    <n v="32.721406597694966"/>
    <n v="6949.84"/>
    <x v="0"/>
    <n v="16"/>
  </r>
  <r>
    <x v="68"/>
    <d v="2024-07-11T00:00:00"/>
    <x v="37"/>
    <s v="Frank Torres"/>
    <s v="P007"/>
    <x v="6"/>
    <x v="2"/>
    <n v="1"/>
    <n v="299.99"/>
    <x v="1"/>
    <x v="2"/>
    <x v="1"/>
    <x v="68"/>
    <n v="299.99"/>
    <n v="3"/>
    <n v="19"/>
    <s v="Inactive"/>
    <x v="3"/>
    <x v="1"/>
    <n v="65.444994767934617"/>
    <n v="1479.91"/>
    <x v="1"/>
    <n v="26"/>
  </r>
  <r>
    <x v="69"/>
    <d v="2024-07-14T00:00:00"/>
    <x v="37"/>
    <s v="Frank Torres"/>
    <s v="P006"/>
    <x v="9"/>
    <x v="2"/>
    <n v="2"/>
    <n v="199.99"/>
    <x v="0"/>
    <x v="2"/>
    <x v="0"/>
    <x v="69"/>
    <n v="399.98"/>
    <n v="4"/>
    <n v="19"/>
    <s v="Inactive"/>
    <x v="3"/>
    <x v="2"/>
    <n v="87.258538642216379"/>
    <n v="1479.91"/>
    <x v="1"/>
    <n v="15"/>
  </r>
  <r>
    <x v="70"/>
    <d v="2024-07-17T00:00:00"/>
    <x v="38"/>
    <s v="Gerald Murphy"/>
    <s v="P005"/>
    <x v="1"/>
    <x v="1"/>
    <n v="3"/>
    <n v="59.99"/>
    <x v="1"/>
    <x v="3"/>
    <x v="0"/>
    <x v="70"/>
    <n v="179.97"/>
    <n v="2"/>
    <n v="19"/>
    <s v="Inactive"/>
    <x v="3"/>
    <x v="1"/>
    <n v="39.261761086653529"/>
    <n v="6379.87"/>
    <x v="0"/>
    <n v="29"/>
  </r>
  <r>
    <x v="71"/>
    <d v="2024-07-17T00:00:00"/>
    <x v="10"/>
    <s v="Peter Richardson"/>
    <s v="P008"/>
    <x v="2"/>
    <x v="2"/>
    <n v="3"/>
    <n v="149.99"/>
    <x v="0"/>
    <x v="0"/>
    <x v="1"/>
    <x v="71"/>
    <n v="449.97"/>
    <n v="2"/>
    <n v="19"/>
    <s v="Inactive"/>
    <x v="3"/>
    <x v="2"/>
    <n v="98.164219793084911"/>
    <n v="5949.85"/>
    <x v="0"/>
    <n v="35"/>
  </r>
  <r>
    <x v="72"/>
    <d v="2024-07-18T00:00:00"/>
    <x v="8"/>
    <s v="Karen Hill"/>
    <s v="P006"/>
    <x v="9"/>
    <x v="2"/>
    <n v="3"/>
    <n v="199.99"/>
    <x v="0"/>
    <x v="2"/>
    <x v="1"/>
    <x v="72"/>
    <n v="599.97"/>
    <n v="2"/>
    <n v="19"/>
    <s v="Inactive"/>
    <x v="3"/>
    <x v="2"/>
    <n v="130.88780796332455"/>
    <n v="8009.7699999999995"/>
    <x v="0"/>
    <n v="15"/>
  </r>
  <r>
    <x v="73"/>
    <d v="2024-07-23T00:00:00"/>
    <x v="30"/>
    <s v="Sharon Butler"/>
    <s v="P001"/>
    <x v="4"/>
    <x v="0"/>
    <n v="1"/>
    <n v="899.99"/>
    <x v="0"/>
    <x v="0"/>
    <x v="2"/>
    <x v="73"/>
    <n v="899.99"/>
    <n v="2"/>
    <n v="19"/>
    <s v="Inactive"/>
    <x v="3"/>
    <x v="0"/>
    <n v="196.33934744889322"/>
    <n v="5619.869999999999"/>
    <x v="0"/>
    <n v="24"/>
  </r>
  <r>
    <x v="74"/>
    <d v="2024-07-24T00:00:00"/>
    <x v="1"/>
    <s v="Joseph Jackson"/>
    <s v="P001"/>
    <x v="4"/>
    <x v="0"/>
    <n v="5"/>
    <n v="899.99"/>
    <x v="3"/>
    <x v="1"/>
    <x v="2"/>
    <x v="74"/>
    <n v="4499.95"/>
    <n v="3"/>
    <n v="19"/>
    <s v="Inactive"/>
    <x v="3"/>
    <x v="0"/>
    <n v="981.69673724446602"/>
    <n v="6949.84"/>
    <x v="0"/>
    <n v="24"/>
  </r>
  <r>
    <x v="75"/>
    <d v="2024-07-25T00:00:00"/>
    <x v="35"/>
    <s v="David Martinez"/>
    <s v="P005"/>
    <x v="1"/>
    <x v="1"/>
    <n v="2"/>
    <n v="59.99"/>
    <x v="0"/>
    <x v="2"/>
    <x v="2"/>
    <x v="75"/>
    <n v="119.98"/>
    <n v="2"/>
    <n v="19"/>
    <s v="Inactive"/>
    <x v="3"/>
    <x v="1"/>
    <n v="26.174507391102356"/>
    <n v="1809.84"/>
    <x v="1"/>
    <n v="29"/>
  </r>
  <r>
    <x v="76"/>
    <d v="2024-07-25T00:00:00"/>
    <x v="38"/>
    <s v="Gerald Murphy"/>
    <s v="P009"/>
    <x v="0"/>
    <x v="0"/>
    <n v="4"/>
    <n v="249.99"/>
    <x v="3"/>
    <x v="0"/>
    <x v="2"/>
    <x v="76"/>
    <n v="999.96"/>
    <n v="2"/>
    <n v="19"/>
    <s v="Inactive"/>
    <x v="3"/>
    <x v="0"/>
    <n v="218.14852817808563"/>
    <n v="6379.87"/>
    <x v="0"/>
    <n v="26"/>
  </r>
  <r>
    <x v="77"/>
    <d v="2024-07-27T00:00:00"/>
    <x v="17"/>
    <s v="Barbara Young"/>
    <s v="P009"/>
    <x v="0"/>
    <x v="0"/>
    <n v="2"/>
    <n v="249.99"/>
    <x v="0"/>
    <x v="2"/>
    <x v="1"/>
    <x v="77"/>
    <n v="499.98"/>
    <n v="2"/>
    <n v="19"/>
    <s v="Inactive"/>
    <x v="3"/>
    <x v="2"/>
    <n v="109.07426408904281"/>
    <n v="10649.8"/>
    <x v="0"/>
    <n v="26"/>
  </r>
  <r>
    <x v="78"/>
    <d v="2024-07-27T00:00:00"/>
    <x v="29"/>
    <s v="Daniel King"/>
    <s v="P007"/>
    <x v="6"/>
    <x v="2"/>
    <n v="1"/>
    <n v="299.99"/>
    <x v="0"/>
    <x v="1"/>
    <x v="0"/>
    <x v="78"/>
    <n v="299.99"/>
    <n v="3"/>
    <n v="19"/>
    <s v="Inactive"/>
    <x v="3"/>
    <x v="1"/>
    <n v="65.444994767934617"/>
    <n v="7309.7999999999993"/>
    <x v="0"/>
    <n v="26"/>
  </r>
  <r>
    <x v="79"/>
    <d v="2024-07-28T00:00:00"/>
    <x v="14"/>
    <s v="Mark Carter"/>
    <s v="P010"/>
    <x v="8"/>
    <x v="0"/>
    <n v="2"/>
    <n v="89.99"/>
    <x v="2"/>
    <x v="1"/>
    <x v="0"/>
    <x v="79"/>
    <n v="179.98"/>
    <n v="3"/>
    <n v="18"/>
    <s v="Inactive"/>
    <x v="3"/>
    <x v="1"/>
    <n v="39.263942659198214"/>
    <n v="15659.65"/>
    <x v="0"/>
    <n v="34"/>
  </r>
  <r>
    <x v="80"/>
    <d v="2024-07-28T00:00:00"/>
    <x v="29"/>
    <s v="Daniel King"/>
    <s v="P007"/>
    <x v="6"/>
    <x v="2"/>
    <n v="3"/>
    <n v="299.99"/>
    <x v="0"/>
    <x v="0"/>
    <x v="0"/>
    <x v="80"/>
    <n v="899.97"/>
    <n v="3"/>
    <n v="18"/>
    <s v="Inactive"/>
    <x v="3"/>
    <x v="0"/>
    <n v="196.33498430380385"/>
    <n v="7309.7999999999993"/>
    <x v="0"/>
    <n v="26"/>
  </r>
  <r>
    <x v="81"/>
    <d v="2024-07-30T00:00:00"/>
    <x v="14"/>
    <s v="Mark Carter"/>
    <s v="P002"/>
    <x v="5"/>
    <x v="0"/>
    <n v="2"/>
    <n v="699.99"/>
    <x v="1"/>
    <x v="2"/>
    <x v="1"/>
    <x v="81"/>
    <n v="1399.98"/>
    <n v="2"/>
    <n v="18"/>
    <s v="Inactive"/>
    <x v="3"/>
    <x v="0"/>
    <n v="305.41579311048065"/>
    <n v="15659.65"/>
    <x v="0"/>
    <n v="31"/>
  </r>
  <r>
    <x v="82"/>
    <d v="2024-07-31T00:00:00"/>
    <x v="22"/>
    <s v="Helen Roberts"/>
    <s v="P001"/>
    <x v="4"/>
    <x v="0"/>
    <n v="4"/>
    <n v="899.99"/>
    <x v="3"/>
    <x v="1"/>
    <x v="2"/>
    <x v="82"/>
    <n v="3599.96"/>
    <n v="4"/>
    <n v="18"/>
    <s v="Inactive"/>
    <x v="3"/>
    <x v="0"/>
    <n v="785.35738979557289"/>
    <n v="6459.79"/>
    <x v="0"/>
    <n v="24"/>
  </r>
  <r>
    <x v="83"/>
    <d v="2024-08-05T00:00:00"/>
    <x v="39"/>
    <s v="Elizabeth Hall"/>
    <s v="P008"/>
    <x v="2"/>
    <x v="2"/>
    <n v="2"/>
    <n v="149.99"/>
    <x v="1"/>
    <x v="3"/>
    <x v="0"/>
    <x v="83"/>
    <n v="299.98"/>
    <n v="4"/>
    <n v="18"/>
    <s v="Inactive"/>
    <x v="4"/>
    <x v="1"/>
    <n v="65.442813195389931"/>
    <n v="3649.8599999999997"/>
    <x v="1"/>
    <n v="35"/>
  </r>
  <r>
    <x v="84"/>
    <d v="2024-08-06T00:00:00"/>
    <x v="19"/>
    <s v="Cynthia Price"/>
    <s v="P008"/>
    <x v="2"/>
    <x v="2"/>
    <n v="2"/>
    <n v="149.99"/>
    <x v="3"/>
    <x v="4"/>
    <x v="2"/>
    <x v="84"/>
    <n v="299.98"/>
    <n v="3"/>
    <n v="18"/>
    <s v="Inactive"/>
    <x v="4"/>
    <x v="1"/>
    <n v="65.442813195389931"/>
    <n v="3769.8300000000004"/>
    <x v="1"/>
    <n v="35"/>
  </r>
  <r>
    <x v="85"/>
    <d v="2024-08-09T00:00:00"/>
    <x v="15"/>
    <s v="Maria Garcia"/>
    <s v="P010"/>
    <x v="8"/>
    <x v="0"/>
    <n v="1"/>
    <n v="89.99"/>
    <x v="1"/>
    <x v="2"/>
    <x v="2"/>
    <x v="85"/>
    <n v="89.99"/>
    <n v="1"/>
    <n v="18"/>
    <s v="Inactive"/>
    <x v="4"/>
    <x v="1"/>
    <n v="19.631971329599107"/>
    <n v="1909.93"/>
    <x v="1"/>
    <n v="34"/>
  </r>
  <r>
    <x v="86"/>
    <d v="2024-08-11T00:00:00"/>
    <x v="14"/>
    <s v="Mark Carter"/>
    <s v="P007"/>
    <x v="6"/>
    <x v="2"/>
    <n v="5"/>
    <n v="299.99"/>
    <x v="1"/>
    <x v="2"/>
    <x v="0"/>
    <x v="86"/>
    <n v="1499.95"/>
    <n v="3"/>
    <n v="18"/>
    <s v="Inactive"/>
    <x v="4"/>
    <x v="0"/>
    <n v="327.22497383967311"/>
    <n v="15659.65"/>
    <x v="0"/>
    <n v="26"/>
  </r>
  <r>
    <x v="87"/>
    <d v="2024-08-13T00:00:00"/>
    <x v="35"/>
    <s v="David Martinez"/>
    <s v="P003"/>
    <x v="3"/>
    <x v="0"/>
    <n v="4"/>
    <n v="149.99"/>
    <x v="3"/>
    <x v="1"/>
    <x v="1"/>
    <x v="87"/>
    <n v="599.96"/>
    <n v="3"/>
    <n v="18"/>
    <s v="Inactive"/>
    <x v="4"/>
    <x v="2"/>
    <n v="130.88562639077986"/>
    <n v="1809.84"/>
    <x v="1"/>
    <n v="16"/>
  </r>
  <r>
    <x v="88"/>
    <d v="2024-08-13T00:00:00"/>
    <x v="36"/>
    <s v="Margaret Wright"/>
    <s v="P009"/>
    <x v="0"/>
    <x v="0"/>
    <n v="5"/>
    <n v="249.99"/>
    <x v="2"/>
    <x v="4"/>
    <x v="1"/>
    <x v="88"/>
    <n v="1249.95"/>
    <n v="3"/>
    <n v="18"/>
    <s v="Inactive"/>
    <x v="4"/>
    <x v="0"/>
    <n v="272.685660222607"/>
    <n v="2099.88"/>
    <x v="1"/>
    <n v="26"/>
  </r>
  <r>
    <x v="89"/>
    <d v="2024-08-13T00:00:00"/>
    <x v="8"/>
    <s v="Karen Hill"/>
    <s v="P009"/>
    <x v="0"/>
    <x v="0"/>
    <n v="3"/>
    <n v="249.99"/>
    <x v="2"/>
    <x v="2"/>
    <x v="1"/>
    <x v="89"/>
    <n v="749.97"/>
    <n v="4"/>
    <n v="18"/>
    <s v="Inactive"/>
    <x v="4"/>
    <x v="0"/>
    <n v="163.6113961335642"/>
    <n v="8009.7699999999995"/>
    <x v="0"/>
    <n v="26"/>
  </r>
  <r>
    <x v="90"/>
    <d v="2024-08-13T00:00:00"/>
    <x v="3"/>
    <s v="Kathleen Bennett"/>
    <s v="P006"/>
    <x v="9"/>
    <x v="2"/>
    <n v="4"/>
    <n v="199.99"/>
    <x v="0"/>
    <x v="2"/>
    <x v="2"/>
    <x v="90"/>
    <n v="799.96"/>
    <n v="4"/>
    <n v="18"/>
    <s v="Inactive"/>
    <x v="4"/>
    <x v="0"/>
    <n v="174.51707728443276"/>
    <n v="4309.8099999999995"/>
    <x v="1"/>
    <n v="15"/>
  </r>
  <r>
    <x v="91"/>
    <d v="2024-08-15T00:00:00"/>
    <x v="32"/>
    <s v="Betty Campbell"/>
    <s v="P006"/>
    <x v="9"/>
    <x v="2"/>
    <n v="5"/>
    <n v="199.99"/>
    <x v="0"/>
    <x v="2"/>
    <x v="1"/>
    <x v="91"/>
    <n v="999.95"/>
    <n v="2"/>
    <n v="18"/>
    <s v="Inactive"/>
    <x v="4"/>
    <x v="0"/>
    <n v="218.14634660554094"/>
    <n v="5649.84"/>
    <x v="0"/>
    <n v="15"/>
  </r>
  <r>
    <x v="92"/>
    <d v="2024-08-18T00:00:00"/>
    <x v="14"/>
    <s v="Mark Carter"/>
    <s v="P010"/>
    <x v="8"/>
    <x v="0"/>
    <n v="2"/>
    <n v="89.99"/>
    <x v="0"/>
    <x v="4"/>
    <x v="1"/>
    <x v="92"/>
    <n v="179.98"/>
    <n v="3"/>
    <n v="18"/>
    <s v="Inactive"/>
    <x v="4"/>
    <x v="1"/>
    <n v="39.263942659198214"/>
    <n v="15659.65"/>
    <x v="0"/>
    <n v="34"/>
  </r>
  <r>
    <x v="93"/>
    <d v="2024-08-19T00:00:00"/>
    <x v="38"/>
    <s v="Gerald Murphy"/>
    <s v="P001"/>
    <x v="4"/>
    <x v="0"/>
    <n v="5"/>
    <n v="899.99"/>
    <x v="3"/>
    <x v="4"/>
    <x v="0"/>
    <x v="93"/>
    <n v="4499.95"/>
    <n v="4"/>
    <n v="18"/>
    <s v="Inactive"/>
    <x v="4"/>
    <x v="0"/>
    <n v="981.69673724446602"/>
    <n v="6379.87"/>
    <x v="0"/>
    <n v="24"/>
  </r>
  <r>
    <x v="94"/>
    <d v="2024-08-19T00:00:00"/>
    <x v="20"/>
    <s v="Nancy Collins"/>
    <s v="P003"/>
    <x v="3"/>
    <x v="0"/>
    <n v="3"/>
    <n v="149.99"/>
    <x v="2"/>
    <x v="4"/>
    <x v="0"/>
    <x v="94"/>
    <n v="449.97"/>
    <n v="4"/>
    <n v="18"/>
    <s v="Inactive"/>
    <x v="4"/>
    <x v="2"/>
    <n v="98.164219793084911"/>
    <n v="4189.7700000000004"/>
    <x v="1"/>
    <n v="16"/>
  </r>
  <r>
    <x v="95"/>
    <d v="2024-08-22T00:00:00"/>
    <x v="19"/>
    <s v="Cynthia Price"/>
    <s v="P008"/>
    <x v="2"/>
    <x v="2"/>
    <n v="5"/>
    <n v="149.99"/>
    <x v="1"/>
    <x v="0"/>
    <x v="0"/>
    <x v="95"/>
    <n v="749.95"/>
    <n v="2"/>
    <n v="18"/>
    <s v="Inactive"/>
    <x v="4"/>
    <x v="0"/>
    <n v="163.60703298847483"/>
    <n v="3769.8300000000004"/>
    <x v="1"/>
    <n v="35"/>
  </r>
  <r>
    <x v="96"/>
    <d v="2024-08-24T00:00:00"/>
    <x v="40"/>
    <s v="Lawrence Reed"/>
    <s v="P004"/>
    <x v="7"/>
    <x v="1"/>
    <n v="3"/>
    <n v="79.989999999999995"/>
    <x v="0"/>
    <x v="0"/>
    <x v="1"/>
    <x v="96"/>
    <n v="239.97"/>
    <n v="3"/>
    <n v="18"/>
    <s v="Inactive"/>
    <x v="4"/>
    <x v="1"/>
    <n v="52.351196354749391"/>
    <n v="6989.7699999999986"/>
    <x v="0"/>
    <n v="14"/>
  </r>
  <r>
    <x v="97"/>
    <d v="2024-08-24T00:00:00"/>
    <x v="28"/>
    <s v="Harry Morgan"/>
    <s v="P009"/>
    <x v="0"/>
    <x v="0"/>
    <n v="2"/>
    <n v="249.99"/>
    <x v="0"/>
    <x v="1"/>
    <x v="2"/>
    <x v="97"/>
    <n v="499.98"/>
    <n v="4"/>
    <n v="18"/>
    <s v="Inactive"/>
    <x v="4"/>
    <x v="2"/>
    <n v="109.07426408904281"/>
    <n v="5519.8899999999994"/>
    <x v="0"/>
    <n v="26"/>
  </r>
  <r>
    <x v="98"/>
    <d v="2024-08-28T00:00:00"/>
    <x v="38"/>
    <s v="Gerald Murphy"/>
    <s v="P002"/>
    <x v="5"/>
    <x v="0"/>
    <n v="1"/>
    <n v="699.99"/>
    <x v="0"/>
    <x v="0"/>
    <x v="1"/>
    <x v="98"/>
    <n v="699.99"/>
    <n v="4"/>
    <n v="17"/>
    <s v="Inactive"/>
    <x v="4"/>
    <x v="2"/>
    <n v="152.70789655524032"/>
    <n v="6379.87"/>
    <x v="0"/>
    <n v="31"/>
  </r>
  <r>
    <x v="99"/>
    <d v="2024-08-28T00:00:00"/>
    <x v="41"/>
    <s v="Carol Evans"/>
    <s v="P003"/>
    <x v="3"/>
    <x v="0"/>
    <n v="3"/>
    <n v="149.99"/>
    <x v="0"/>
    <x v="3"/>
    <x v="1"/>
    <x v="99"/>
    <n v="449.97"/>
    <n v="2"/>
    <n v="17"/>
    <s v="Inactive"/>
    <x v="4"/>
    <x v="2"/>
    <n v="98.164219793084911"/>
    <n v="1149.93"/>
    <x v="1"/>
    <n v="16"/>
  </r>
  <r>
    <x v="100"/>
    <d v="2024-08-30T00:00:00"/>
    <x v="42"/>
    <s v="Sandra Phillips"/>
    <s v="P002"/>
    <x v="5"/>
    <x v="0"/>
    <n v="2"/>
    <n v="699.99"/>
    <x v="1"/>
    <x v="2"/>
    <x v="1"/>
    <x v="63"/>
    <n v="1399.98"/>
    <n v="4"/>
    <n v="17"/>
    <s v="Inactive"/>
    <x v="4"/>
    <x v="0"/>
    <n v="305.41579311048065"/>
    <n v="6349.83"/>
    <x v="0"/>
    <n v="31"/>
  </r>
  <r>
    <x v="101"/>
    <d v="2024-09-02T00:00:00"/>
    <x v="41"/>
    <s v="Carol Evans"/>
    <s v="P009"/>
    <x v="0"/>
    <x v="0"/>
    <n v="1"/>
    <n v="249.99"/>
    <x v="1"/>
    <x v="3"/>
    <x v="1"/>
    <x v="100"/>
    <n v="249.99"/>
    <n v="3"/>
    <n v="17"/>
    <s v="Inactive"/>
    <x v="5"/>
    <x v="1"/>
    <n v="54.537132044521407"/>
    <n v="1149.93"/>
    <x v="1"/>
    <n v="26"/>
  </r>
  <r>
    <x v="102"/>
    <d v="2024-09-02T00:00:00"/>
    <x v="0"/>
    <s v="Paul Baker"/>
    <s v="P009"/>
    <x v="0"/>
    <x v="0"/>
    <n v="1"/>
    <n v="249.99"/>
    <x v="3"/>
    <x v="2"/>
    <x v="1"/>
    <x v="101"/>
    <n v="249.99"/>
    <n v="2"/>
    <n v="17"/>
    <s v="Inactive"/>
    <x v="5"/>
    <x v="1"/>
    <n v="54.537132044521407"/>
    <n v="8309.739999999998"/>
    <x v="0"/>
    <n v="26"/>
  </r>
  <r>
    <x v="103"/>
    <d v="2024-09-03T00:00:00"/>
    <x v="40"/>
    <s v="Lawrence Reed"/>
    <s v="P002"/>
    <x v="5"/>
    <x v="0"/>
    <n v="2"/>
    <n v="699.99"/>
    <x v="3"/>
    <x v="0"/>
    <x v="1"/>
    <x v="102"/>
    <n v="1399.98"/>
    <n v="3"/>
    <n v="17"/>
    <s v="Inactive"/>
    <x v="5"/>
    <x v="0"/>
    <n v="305.41579311048065"/>
    <n v="6989.7699999999986"/>
    <x v="0"/>
    <n v="31"/>
  </r>
  <r>
    <x v="104"/>
    <d v="2024-09-06T00:00:00"/>
    <x v="26"/>
    <s v="Steven Turner"/>
    <s v="P005"/>
    <x v="1"/>
    <x v="1"/>
    <n v="3"/>
    <n v="59.99"/>
    <x v="1"/>
    <x v="0"/>
    <x v="1"/>
    <x v="103"/>
    <n v="179.97"/>
    <n v="3"/>
    <n v="17"/>
    <s v="Inactive"/>
    <x v="5"/>
    <x v="1"/>
    <n v="39.261761086653529"/>
    <n v="2649.83"/>
    <x v="1"/>
    <n v="29"/>
  </r>
  <r>
    <x v="105"/>
    <d v="2024-09-09T00:00:00"/>
    <x v="25"/>
    <s v="Emma Wilson"/>
    <s v="P005"/>
    <x v="1"/>
    <x v="1"/>
    <n v="3"/>
    <n v="59.99"/>
    <x v="2"/>
    <x v="4"/>
    <x v="2"/>
    <x v="104"/>
    <n v="179.97"/>
    <n v="3"/>
    <n v="17"/>
    <s v="Inactive"/>
    <x v="5"/>
    <x v="1"/>
    <n v="39.261761086653529"/>
    <n v="1229.8800000000001"/>
    <x v="1"/>
    <n v="29"/>
  </r>
  <r>
    <x v="106"/>
    <d v="2024-09-09T00:00:00"/>
    <x v="27"/>
    <s v="Jennifer Taylor"/>
    <s v="P004"/>
    <x v="7"/>
    <x v="1"/>
    <n v="4"/>
    <n v="79.989999999999995"/>
    <x v="0"/>
    <x v="2"/>
    <x v="0"/>
    <x v="105"/>
    <n v="319.95999999999998"/>
    <n v="4"/>
    <n v="17"/>
    <s v="Inactive"/>
    <x v="5"/>
    <x v="2"/>
    <n v="69.801595139665849"/>
    <n v="4739.8500000000004"/>
    <x v="1"/>
    <n v="14"/>
  </r>
  <r>
    <x v="107"/>
    <d v="2024-09-10T00:00:00"/>
    <x v="6"/>
    <s v="Charles Allen"/>
    <s v="P004"/>
    <x v="7"/>
    <x v="1"/>
    <n v="1"/>
    <n v="79.989999999999995"/>
    <x v="0"/>
    <x v="3"/>
    <x v="0"/>
    <x v="106"/>
    <n v="79.989999999999995"/>
    <n v="3"/>
    <n v="17"/>
    <s v="Inactive"/>
    <x v="5"/>
    <x v="1"/>
    <n v="17.450398784916462"/>
    <n v="5089.7300000000005"/>
    <x v="0"/>
    <n v="14"/>
  </r>
  <r>
    <x v="108"/>
    <d v="2024-09-12T00:00:00"/>
    <x v="5"/>
    <s v="Dorothy Nelson"/>
    <s v="P007"/>
    <x v="6"/>
    <x v="2"/>
    <n v="3"/>
    <n v="299.99"/>
    <x v="1"/>
    <x v="0"/>
    <x v="1"/>
    <x v="107"/>
    <n v="899.97"/>
    <n v="4"/>
    <n v="17"/>
    <s v="Inactive"/>
    <x v="5"/>
    <x v="0"/>
    <n v="196.33498430380385"/>
    <n v="8269.7900000000009"/>
    <x v="0"/>
    <n v="26"/>
  </r>
  <r>
    <x v="109"/>
    <d v="2024-09-13T00:00:00"/>
    <x v="3"/>
    <s v="Kathleen Bennett"/>
    <s v="P010"/>
    <x v="8"/>
    <x v="0"/>
    <n v="2"/>
    <n v="89.99"/>
    <x v="1"/>
    <x v="1"/>
    <x v="1"/>
    <x v="108"/>
    <n v="179.98"/>
    <n v="3"/>
    <n v="17"/>
    <s v="Inactive"/>
    <x v="5"/>
    <x v="1"/>
    <n v="39.263942659198214"/>
    <n v="4309.8099999999995"/>
    <x v="1"/>
    <n v="34"/>
  </r>
  <r>
    <x v="110"/>
    <d v="2024-09-15T00:00:00"/>
    <x v="43"/>
    <s v="Ruth Brooks"/>
    <s v="P003"/>
    <x v="3"/>
    <x v="0"/>
    <n v="4"/>
    <n v="149.99"/>
    <x v="0"/>
    <x v="2"/>
    <x v="0"/>
    <x v="67"/>
    <n v="599.96"/>
    <n v="3"/>
    <n v="17"/>
    <s v="Inactive"/>
    <x v="5"/>
    <x v="2"/>
    <n v="130.88562639077986"/>
    <n v="1749.92"/>
    <x v="1"/>
    <n v="16"/>
  </r>
  <r>
    <x v="111"/>
    <d v="2024-09-16T00:00:00"/>
    <x v="8"/>
    <s v="Karen Hill"/>
    <s v="P009"/>
    <x v="0"/>
    <x v="0"/>
    <n v="2"/>
    <n v="249.99"/>
    <x v="2"/>
    <x v="1"/>
    <x v="0"/>
    <x v="57"/>
    <n v="499.98"/>
    <n v="2"/>
    <n v="17"/>
    <s v="Inactive"/>
    <x v="5"/>
    <x v="2"/>
    <n v="109.07426408904281"/>
    <n v="8009.7699999999995"/>
    <x v="0"/>
    <n v="26"/>
  </r>
  <r>
    <x v="112"/>
    <d v="2024-09-16T00:00:00"/>
    <x v="31"/>
    <s v="Sarah Davis"/>
    <s v="P006"/>
    <x v="9"/>
    <x v="2"/>
    <n v="4"/>
    <n v="199.99"/>
    <x v="3"/>
    <x v="4"/>
    <x v="0"/>
    <x v="90"/>
    <n v="799.96"/>
    <n v="4"/>
    <n v="17"/>
    <s v="Inactive"/>
    <x v="5"/>
    <x v="0"/>
    <n v="174.51707728443276"/>
    <n v="5499.8099999999995"/>
    <x v="0"/>
    <n v="15"/>
  </r>
  <r>
    <x v="113"/>
    <d v="2024-09-19T00:00:00"/>
    <x v="29"/>
    <s v="Daniel King"/>
    <s v="P010"/>
    <x v="8"/>
    <x v="0"/>
    <n v="5"/>
    <n v="89.99"/>
    <x v="1"/>
    <x v="4"/>
    <x v="1"/>
    <x v="109"/>
    <n v="449.95"/>
    <n v="4"/>
    <n v="17"/>
    <s v="Inactive"/>
    <x v="5"/>
    <x v="2"/>
    <n v="98.159856647995539"/>
    <n v="7309.7999999999993"/>
    <x v="0"/>
    <n v="34"/>
  </r>
  <r>
    <x v="114"/>
    <d v="2024-09-19T00:00:00"/>
    <x v="44"/>
    <s v="William White"/>
    <s v="P003"/>
    <x v="3"/>
    <x v="0"/>
    <n v="1"/>
    <n v="149.99"/>
    <x v="2"/>
    <x v="4"/>
    <x v="2"/>
    <x v="110"/>
    <n v="149.99"/>
    <n v="4"/>
    <n v="17"/>
    <s v="Inactive"/>
    <x v="5"/>
    <x v="1"/>
    <n v="32.721406597694966"/>
    <n v="4749.91"/>
    <x v="1"/>
    <n v="16"/>
  </r>
  <r>
    <x v="115"/>
    <d v="2024-09-19T00:00:00"/>
    <x v="10"/>
    <s v="Peter Richardson"/>
    <s v="P002"/>
    <x v="5"/>
    <x v="0"/>
    <n v="4"/>
    <n v="699.99"/>
    <x v="2"/>
    <x v="1"/>
    <x v="0"/>
    <x v="111"/>
    <n v="2799.96"/>
    <n v="4"/>
    <n v="17"/>
    <s v="Inactive"/>
    <x v="5"/>
    <x v="0"/>
    <n v="610.8315862209613"/>
    <n v="5949.85"/>
    <x v="0"/>
    <n v="31"/>
  </r>
  <r>
    <x v="116"/>
    <d v="2024-09-24T00:00:00"/>
    <x v="42"/>
    <s v="Sandra Phillips"/>
    <s v="P001"/>
    <x v="4"/>
    <x v="0"/>
    <n v="3"/>
    <n v="899.99"/>
    <x v="1"/>
    <x v="2"/>
    <x v="2"/>
    <x v="112"/>
    <n v="2699.97"/>
    <n v="2"/>
    <n v="17"/>
    <s v="Inactive"/>
    <x v="5"/>
    <x v="0"/>
    <n v="589.01804234667964"/>
    <n v="6349.83"/>
    <x v="0"/>
    <n v="24"/>
  </r>
  <r>
    <x v="117"/>
    <d v="2024-09-25T00:00:00"/>
    <x v="21"/>
    <s v="Linda Martin"/>
    <s v="P008"/>
    <x v="2"/>
    <x v="2"/>
    <n v="3"/>
    <n v="149.99"/>
    <x v="2"/>
    <x v="4"/>
    <x v="0"/>
    <x v="113"/>
    <n v="449.97"/>
    <n v="3"/>
    <n v="17"/>
    <s v="Inactive"/>
    <x v="5"/>
    <x v="2"/>
    <n v="98.164219793084911"/>
    <n v="1289.9000000000001"/>
    <x v="1"/>
    <n v="35"/>
  </r>
  <r>
    <x v="118"/>
    <d v="2024-09-28T00:00:00"/>
    <x v="18"/>
    <s v="Patricia Moore"/>
    <s v="P007"/>
    <x v="6"/>
    <x v="2"/>
    <n v="2"/>
    <n v="299.99"/>
    <x v="3"/>
    <x v="0"/>
    <x v="0"/>
    <x v="114"/>
    <n v="599.98"/>
    <n v="4"/>
    <n v="16"/>
    <s v="Inactive"/>
    <x v="5"/>
    <x v="2"/>
    <n v="130.88998953586923"/>
    <n v="9799.73"/>
    <x v="0"/>
    <n v="26"/>
  </r>
  <r>
    <x v="119"/>
    <d v="2024-09-29T00:00:00"/>
    <x v="45"/>
    <s v="Richard Lee"/>
    <s v="P006"/>
    <x v="9"/>
    <x v="2"/>
    <n v="1"/>
    <n v="199.99"/>
    <x v="3"/>
    <x v="4"/>
    <x v="2"/>
    <x v="115"/>
    <n v="199.99"/>
    <n v="3"/>
    <n v="16"/>
    <s v="Inactive"/>
    <x v="5"/>
    <x v="1"/>
    <n v="43.62926932110819"/>
    <n v="739.93000000000006"/>
    <x v="1"/>
    <n v="15"/>
  </r>
  <r>
    <x v="120"/>
    <d v="2024-10-01T00:00:00"/>
    <x v="4"/>
    <s v="Michael Brown"/>
    <s v="P007"/>
    <x v="6"/>
    <x v="2"/>
    <n v="4"/>
    <n v="299.99"/>
    <x v="0"/>
    <x v="0"/>
    <x v="1"/>
    <x v="116"/>
    <n v="1199.96"/>
    <n v="4"/>
    <n v="16"/>
    <s v="Inactive"/>
    <x v="6"/>
    <x v="0"/>
    <n v="261.77997907173847"/>
    <n v="6169.7400000000007"/>
    <x v="0"/>
    <n v="26"/>
  </r>
  <r>
    <x v="121"/>
    <d v="2024-10-07T00:00:00"/>
    <x v="15"/>
    <s v="Maria Garcia"/>
    <s v="P005"/>
    <x v="1"/>
    <x v="1"/>
    <n v="2"/>
    <n v="59.99"/>
    <x v="1"/>
    <x v="0"/>
    <x v="0"/>
    <x v="47"/>
    <n v="119.98"/>
    <n v="4"/>
    <n v="16"/>
    <s v="Inactive"/>
    <x v="6"/>
    <x v="1"/>
    <n v="26.174507391102356"/>
    <n v="1909.93"/>
    <x v="1"/>
    <n v="29"/>
  </r>
  <r>
    <x v="122"/>
    <d v="2024-10-07T00:00:00"/>
    <x v="42"/>
    <s v="Sandra Phillips"/>
    <s v="P003"/>
    <x v="3"/>
    <x v="0"/>
    <n v="4"/>
    <n v="149.99"/>
    <x v="1"/>
    <x v="2"/>
    <x v="1"/>
    <x v="117"/>
    <n v="599.96"/>
    <n v="2"/>
    <n v="16"/>
    <s v="Inactive"/>
    <x v="6"/>
    <x v="2"/>
    <n v="130.88562639077986"/>
    <n v="6349.83"/>
    <x v="0"/>
    <n v="16"/>
  </r>
  <r>
    <x v="123"/>
    <d v="2024-10-08T00:00:00"/>
    <x v="39"/>
    <s v="Elizabeth Hall"/>
    <s v="P002"/>
    <x v="5"/>
    <x v="0"/>
    <n v="2"/>
    <n v="699.99"/>
    <x v="3"/>
    <x v="4"/>
    <x v="1"/>
    <x v="118"/>
    <n v="1399.98"/>
    <n v="2"/>
    <n v="16"/>
    <s v="Inactive"/>
    <x v="6"/>
    <x v="0"/>
    <n v="305.41579311048065"/>
    <n v="3649.8599999999997"/>
    <x v="1"/>
    <n v="31"/>
  </r>
  <r>
    <x v="124"/>
    <d v="2024-10-08T00:00:00"/>
    <x v="41"/>
    <s v="Carol Evans"/>
    <s v="P008"/>
    <x v="2"/>
    <x v="2"/>
    <n v="3"/>
    <n v="149.99"/>
    <x v="1"/>
    <x v="1"/>
    <x v="2"/>
    <x v="119"/>
    <n v="449.97"/>
    <n v="3"/>
    <n v="16"/>
    <s v="Inactive"/>
    <x v="6"/>
    <x v="2"/>
    <n v="98.164219793084911"/>
    <n v="1149.93"/>
    <x v="1"/>
    <n v="35"/>
  </r>
  <r>
    <x v="125"/>
    <d v="2024-10-11T00:00:00"/>
    <x v="29"/>
    <s v="Daniel King"/>
    <s v="P007"/>
    <x v="6"/>
    <x v="2"/>
    <n v="3"/>
    <n v="299.99"/>
    <x v="1"/>
    <x v="0"/>
    <x v="2"/>
    <x v="120"/>
    <n v="899.97"/>
    <n v="2"/>
    <n v="16"/>
    <s v="Inactive"/>
    <x v="6"/>
    <x v="0"/>
    <n v="196.33498430380385"/>
    <n v="7309.7999999999993"/>
    <x v="0"/>
    <n v="26"/>
  </r>
  <r>
    <x v="126"/>
    <d v="2024-10-14T00:00:00"/>
    <x v="13"/>
    <s v="George Adams"/>
    <s v="P001"/>
    <x v="4"/>
    <x v="0"/>
    <n v="3"/>
    <n v="899.99"/>
    <x v="2"/>
    <x v="3"/>
    <x v="0"/>
    <x v="121"/>
    <n v="2699.97"/>
    <n v="2"/>
    <n v="16"/>
    <s v="Inactive"/>
    <x v="6"/>
    <x v="0"/>
    <n v="589.01804234667964"/>
    <n v="3779.93"/>
    <x v="1"/>
    <n v="24"/>
  </r>
  <r>
    <x v="127"/>
    <d v="2024-10-16T00:00:00"/>
    <x v="17"/>
    <s v="Barbara Young"/>
    <s v="P002"/>
    <x v="5"/>
    <x v="0"/>
    <n v="5"/>
    <n v="699.99"/>
    <x v="0"/>
    <x v="4"/>
    <x v="2"/>
    <x v="122"/>
    <n v="3499.95"/>
    <n v="2"/>
    <n v="16"/>
    <s v="Inactive"/>
    <x v="6"/>
    <x v="0"/>
    <n v="763.53948277620168"/>
    <n v="10649.8"/>
    <x v="0"/>
    <n v="31"/>
  </r>
  <r>
    <x v="128"/>
    <d v="2024-10-16T00:00:00"/>
    <x v="34"/>
    <s v="Raymond Ross"/>
    <s v="P002"/>
    <x v="5"/>
    <x v="0"/>
    <n v="4"/>
    <n v="699.99"/>
    <x v="1"/>
    <x v="0"/>
    <x v="0"/>
    <x v="123"/>
    <n v="2799.96"/>
    <n v="1"/>
    <n v="16"/>
    <s v="Inactive"/>
    <x v="6"/>
    <x v="0"/>
    <n v="610.8315862209613"/>
    <n v="3669.8500000000004"/>
    <x v="1"/>
    <n v="31"/>
  </r>
  <r>
    <x v="129"/>
    <d v="2024-10-16T00:00:00"/>
    <x v="30"/>
    <s v="Sharon Butler"/>
    <s v="P001"/>
    <x v="4"/>
    <x v="0"/>
    <n v="1"/>
    <n v="899.99"/>
    <x v="1"/>
    <x v="4"/>
    <x v="2"/>
    <x v="124"/>
    <n v="899.99"/>
    <n v="1"/>
    <n v="16"/>
    <s v="Inactive"/>
    <x v="6"/>
    <x v="0"/>
    <n v="196.33934744889322"/>
    <n v="5619.869999999999"/>
    <x v="0"/>
    <n v="24"/>
  </r>
  <r>
    <x v="130"/>
    <d v="2024-10-18T00:00:00"/>
    <x v="40"/>
    <s v="Lawrence Reed"/>
    <s v="P003"/>
    <x v="3"/>
    <x v="0"/>
    <n v="2"/>
    <n v="149.99"/>
    <x v="1"/>
    <x v="3"/>
    <x v="0"/>
    <x v="125"/>
    <n v="299.98"/>
    <n v="3"/>
    <n v="16"/>
    <s v="Inactive"/>
    <x v="6"/>
    <x v="1"/>
    <n v="65.442813195389931"/>
    <n v="6989.7699999999986"/>
    <x v="0"/>
    <n v="16"/>
  </r>
  <r>
    <x v="131"/>
    <d v="2024-10-21T00:00:00"/>
    <x v="40"/>
    <s v="Lawrence Reed"/>
    <s v="P010"/>
    <x v="8"/>
    <x v="0"/>
    <n v="3"/>
    <n v="89.99"/>
    <x v="2"/>
    <x v="0"/>
    <x v="0"/>
    <x v="126"/>
    <n v="269.97000000000003"/>
    <n v="4"/>
    <n v="16"/>
    <s v="Inactive"/>
    <x v="6"/>
    <x v="1"/>
    <n v="58.895913988797318"/>
    <n v="6989.7699999999986"/>
    <x v="0"/>
    <n v="34"/>
  </r>
  <r>
    <x v="132"/>
    <d v="2024-10-23T00:00:00"/>
    <x v="3"/>
    <s v="Kathleen Bennett"/>
    <s v="P003"/>
    <x v="3"/>
    <x v="0"/>
    <n v="2"/>
    <n v="149.99"/>
    <x v="2"/>
    <x v="0"/>
    <x v="0"/>
    <x v="127"/>
    <n v="299.98"/>
    <n v="4"/>
    <n v="16"/>
    <s v="Inactive"/>
    <x v="6"/>
    <x v="1"/>
    <n v="65.442813195389931"/>
    <n v="4309.8099999999995"/>
    <x v="1"/>
    <n v="16"/>
  </r>
  <r>
    <x v="133"/>
    <d v="2024-10-23T00:00:00"/>
    <x v="31"/>
    <s v="Sarah Davis"/>
    <s v="P002"/>
    <x v="5"/>
    <x v="0"/>
    <n v="2"/>
    <n v="699.99"/>
    <x v="0"/>
    <x v="0"/>
    <x v="0"/>
    <x v="128"/>
    <n v="1399.98"/>
    <n v="2"/>
    <n v="16"/>
    <s v="Inactive"/>
    <x v="6"/>
    <x v="0"/>
    <n v="305.41579311048065"/>
    <n v="5499.8099999999995"/>
    <x v="0"/>
    <n v="31"/>
  </r>
  <r>
    <x v="134"/>
    <d v="2024-10-24T00:00:00"/>
    <x v="32"/>
    <s v="Betty Campbell"/>
    <s v="P002"/>
    <x v="5"/>
    <x v="0"/>
    <n v="5"/>
    <n v="699.99"/>
    <x v="0"/>
    <x v="2"/>
    <x v="1"/>
    <x v="129"/>
    <n v="3499.95"/>
    <n v="3"/>
    <n v="16"/>
    <s v="Inactive"/>
    <x v="6"/>
    <x v="0"/>
    <n v="763.53948277620168"/>
    <n v="5649.84"/>
    <x v="0"/>
    <n v="31"/>
  </r>
  <r>
    <x v="135"/>
    <d v="2024-10-27T00:00:00"/>
    <x v="34"/>
    <s v="Raymond Ross"/>
    <s v="P010"/>
    <x v="8"/>
    <x v="0"/>
    <n v="3"/>
    <n v="89.99"/>
    <x v="1"/>
    <x v="2"/>
    <x v="2"/>
    <x v="130"/>
    <n v="269.97000000000003"/>
    <n v="4"/>
    <n v="16"/>
    <s v="Inactive"/>
    <x v="6"/>
    <x v="1"/>
    <n v="58.895913988797318"/>
    <n v="3669.8500000000004"/>
    <x v="1"/>
    <n v="34"/>
  </r>
  <r>
    <x v="136"/>
    <d v="2024-11-01T00:00:00"/>
    <x v="0"/>
    <s v="Paul Baker"/>
    <s v="P009"/>
    <x v="0"/>
    <x v="0"/>
    <n v="5"/>
    <n v="249.99"/>
    <x v="1"/>
    <x v="1"/>
    <x v="2"/>
    <x v="131"/>
    <n v="1249.95"/>
    <n v="3"/>
    <n v="15"/>
    <s v="Inactive"/>
    <x v="7"/>
    <x v="0"/>
    <n v="272.685660222607"/>
    <n v="8309.739999999998"/>
    <x v="0"/>
    <n v="26"/>
  </r>
  <r>
    <x v="137"/>
    <d v="2024-11-04T00:00:00"/>
    <x v="8"/>
    <s v="Karen Hill"/>
    <s v="P007"/>
    <x v="6"/>
    <x v="2"/>
    <n v="3"/>
    <n v="299.99"/>
    <x v="1"/>
    <x v="1"/>
    <x v="2"/>
    <x v="132"/>
    <n v="899.97"/>
    <n v="4"/>
    <n v="15"/>
    <s v="Inactive"/>
    <x v="7"/>
    <x v="0"/>
    <n v="196.33498430380385"/>
    <n v="8009.7699999999995"/>
    <x v="0"/>
    <n v="26"/>
  </r>
  <r>
    <x v="138"/>
    <d v="2024-11-07T00:00:00"/>
    <x v="18"/>
    <s v="Patricia Moore"/>
    <s v="P010"/>
    <x v="8"/>
    <x v="0"/>
    <n v="3"/>
    <n v="89.99"/>
    <x v="1"/>
    <x v="2"/>
    <x v="1"/>
    <x v="133"/>
    <n v="269.97000000000003"/>
    <n v="4"/>
    <n v="15"/>
    <s v="Inactive"/>
    <x v="7"/>
    <x v="1"/>
    <n v="58.895913988797318"/>
    <n v="9799.73"/>
    <x v="0"/>
    <n v="34"/>
  </r>
  <r>
    <x v="139"/>
    <d v="2024-11-08T00:00:00"/>
    <x v="15"/>
    <s v="Maria Garcia"/>
    <s v="P008"/>
    <x v="2"/>
    <x v="2"/>
    <n v="2"/>
    <n v="149.99"/>
    <x v="1"/>
    <x v="3"/>
    <x v="1"/>
    <x v="134"/>
    <n v="299.98"/>
    <n v="3"/>
    <n v="15"/>
    <s v="Inactive"/>
    <x v="7"/>
    <x v="1"/>
    <n v="65.442813195389931"/>
    <n v="1909.93"/>
    <x v="1"/>
    <n v="35"/>
  </r>
  <r>
    <x v="140"/>
    <d v="2024-11-09T00:00:00"/>
    <x v="36"/>
    <s v="Margaret Wright"/>
    <s v="P009"/>
    <x v="0"/>
    <x v="0"/>
    <n v="1"/>
    <n v="249.99"/>
    <x v="1"/>
    <x v="2"/>
    <x v="1"/>
    <x v="135"/>
    <n v="249.99"/>
    <n v="3"/>
    <n v="15"/>
    <s v="Inactive"/>
    <x v="7"/>
    <x v="1"/>
    <n v="54.537132044521407"/>
    <n v="2099.88"/>
    <x v="1"/>
    <n v="26"/>
  </r>
  <r>
    <x v="141"/>
    <d v="2024-11-11T00:00:00"/>
    <x v="10"/>
    <s v="Peter Richardson"/>
    <s v="P003"/>
    <x v="3"/>
    <x v="0"/>
    <n v="3"/>
    <n v="149.99"/>
    <x v="0"/>
    <x v="2"/>
    <x v="0"/>
    <x v="136"/>
    <n v="449.97"/>
    <n v="3"/>
    <n v="15"/>
    <s v="Inactive"/>
    <x v="7"/>
    <x v="2"/>
    <n v="98.164219793084911"/>
    <n v="5949.85"/>
    <x v="0"/>
    <n v="16"/>
  </r>
  <r>
    <x v="142"/>
    <d v="2024-11-11T00:00:00"/>
    <x v="0"/>
    <s v="Paul Baker"/>
    <s v="P005"/>
    <x v="1"/>
    <x v="1"/>
    <n v="5"/>
    <n v="59.99"/>
    <x v="2"/>
    <x v="3"/>
    <x v="1"/>
    <x v="137"/>
    <n v="299.95"/>
    <n v="3"/>
    <n v="15"/>
    <s v="Inactive"/>
    <x v="7"/>
    <x v="1"/>
    <n v="65.436268477755888"/>
    <n v="8309.739999999998"/>
    <x v="0"/>
    <n v="29"/>
  </r>
  <r>
    <x v="143"/>
    <d v="2024-11-11T00:00:00"/>
    <x v="18"/>
    <s v="Patricia Moore"/>
    <s v="P009"/>
    <x v="0"/>
    <x v="0"/>
    <n v="4"/>
    <n v="249.99"/>
    <x v="1"/>
    <x v="3"/>
    <x v="2"/>
    <x v="138"/>
    <n v="999.96"/>
    <n v="3"/>
    <n v="15"/>
    <s v="Inactive"/>
    <x v="7"/>
    <x v="0"/>
    <n v="218.14852817808563"/>
    <n v="9799.73"/>
    <x v="0"/>
    <n v="26"/>
  </r>
  <r>
    <x v="144"/>
    <d v="2024-11-12T00:00:00"/>
    <x v="31"/>
    <s v="Sarah Davis"/>
    <s v="P008"/>
    <x v="2"/>
    <x v="2"/>
    <n v="5"/>
    <n v="149.99"/>
    <x v="2"/>
    <x v="0"/>
    <x v="0"/>
    <x v="139"/>
    <n v="749.95"/>
    <n v="3"/>
    <n v="15"/>
    <s v="Inactive"/>
    <x v="7"/>
    <x v="0"/>
    <n v="163.60703298847483"/>
    <n v="5499.8099999999995"/>
    <x v="0"/>
    <n v="35"/>
  </r>
  <r>
    <x v="145"/>
    <d v="2024-11-12T00:00:00"/>
    <x v="13"/>
    <s v="George Adams"/>
    <s v="P005"/>
    <x v="1"/>
    <x v="1"/>
    <n v="3"/>
    <n v="59.99"/>
    <x v="3"/>
    <x v="1"/>
    <x v="2"/>
    <x v="140"/>
    <n v="179.97"/>
    <n v="2"/>
    <n v="15"/>
    <s v="Inactive"/>
    <x v="7"/>
    <x v="1"/>
    <n v="39.261761086653529"/>
    <n v="3779.93"/>
    <x v="1"/>
    <n v="29"/>
  </r>
  <r>
    <x v="146"/>
    <d v="2024-11-17T00:00:00"/>
    <x v="42"/>
    <s v="Sandra Phillips"/>
    <s v="P008"/>
    <x v="2"/>
    <x v="2"/>
    <n v="5"/>
    <n v="149.99"/>
    <x v="0"/>
    <x v="2"/>
    <x v="0"/>
    <x v="141"/>
    <n v="749.95"/>
    <n v="3"/>
    <n v="15"/>
    <s v="Inactive"/>
    <x v="7"/>
    <x v="0"/>
    <n v="163.60703298847483"/>
    <n v="6349.83"/>
    <x v="0"/>
    <n v="35"/>
  </r>
  <r>
    <x v="147"/>
    <d v="2024-11-17T00:00:00"/>
    <x v="14"/>
    <s v="Mark Carter"/>
    <s v="P002"/>
    <x v="5"/>
    <x v="0"/>
    <n v="2"/>
    <n v="699.99"/>
    <x v="2"/>
    <x v="3"/>
    <x v="2"/>
    <x v="142"/>
    <n v="1399.98"/>
    <n v="3"/>
    <n v="15"/>
    <s v="Inactive"/>
    <x v="7"/>
    <x v="0"/>
    <n v="305.41579311048065"/>
    <n v="15659.65"/>
    <x v="0"/>
    <n v="31"/>
  </r>
  <r>
    <x v="148"/>
    <d v="2024-11-21T00:00:00"/>
    <x v="23"/>
    <s v="Edward Mitchell"/>
    <s v="P006"/>
    <x v="9"/>
    <x v="2"/>
    <n v="4"/>
    <n v="199.99"/>
    <x v="3"/>
    <x v="0"/>
    <x v="1"/>
    <x v="143"/>
    <n v="799.96"/>
    <n v="4"/>
    <n v="15"/>
    <s v="Inactive"/>
    <x v="7"/>
    <x v="0"/>
    <n v="174.51707728443276"/>
    <n v="11919.769999999999"/>
    <x v="0"/>
    <n v="15"/>
  </r>
  <r>
    <x v="149"/>
    <d v="2024-11-23T00:00:00"/>
    <x v="37"/>
    <s v="Frank Torres"/>
    <s v="P005"/>
    <x v="1"/>
    <x v="1"/>
    <n v="1"/>
    <n v="59.99"/>
    <x v="3"/>
    <x v="3"/>
    <x v="2"/>
    <x v="144"/>
    <n v="59.99"/>
    <n v="4"/>
    <n v="15"/>
    <s v="Inactive"/>
    <x v="7"/>
    <x v="1"/>
    <n v="13.087253695551178"/>
    <n v="1479.91"/>
    <x v="1"/>
    <n v="29"/>
  </r>
  <r>
    <x v="150"/>
    <d v="2024-11-23T00:00:00"/>
    <x v="31"/>
    <s v="Sarah Davis"/>
    <s v="P002"/>
    <x v="5"/>
    <x v="0"/>
    <n v="3"/>
    <n v="699.99"/>
    <x v="2"/>
    <x v="3"/>
    <x v="2"/>
    <x v="145"/>
    <n v="2099.9699999999998"/>
    <n v="4"/>
    <n v="15"/>
    <s v="Inactive"/>
    <x v="7"/>
    <x v="0"/>
    <n v="458.12368966572097"/>
    <n v="5499.8099999999995"/>
    <x v="0"/>
    <n v="31"/>
  </r>
  <r>
    <x v="151"/>
    <d v="2024-11-26T00:00:00"/>
    <x v="46"/>
    <s v="Douglas Watson"/>
    <s v="P009"/>
    <x v="0"/>
    <x v="0"/>
    <n v="5"/>
    <n v="249.99"/>
    <x v="1"/>
    <x v="2"/>
    <x v="0"/>
    <x v="146"/>
    <n v="1249.95"/>
    <n v="3"/>
    <n v="15"/>
    <s v="Inactive"/>
    <x v="7"/>
    <x v="0"/>
    <n v="272.685660222607"/>
    <n v="4829.8899999999994"/>
    <x v="1"/>
    <n v="26"/>
  </r>
  <r>
    <x v="152"/>
    <d v="2024-11-27T00:00:00"/>
    <x v="21"/>
    <s v="Linda Martin"/>
    <s v="P008"/>
    <x v="2"/>
    <x v="2"/>
    <n v="2"/>
    <n v="149.99"/>
    <x v="0"/>
    <x v="1"/>
    <x v="2"/>
    <x v="147"/>
    <n v="299.98"/>
    <n v="2"/>
    <n v="15"/>
    <s v="Inactive"/>
    <x v="7"/>
    <x v="1"/>
    <n v="65.442813195389931"/>
    <n v="1289.9000000000001"/>
    <x v="1"/>
    <n v="35"/>
  </r>
  <r>
    <x v="153"/>
    <d v="2024-12-01T00:00:00"/>
    <x v="2"/>
    <s v="Kevin Scott"/>
    <s v="P007"/>
    <x v="6"/>
    <x v="2"/>
    <n v="3"/>
    <n v="299.99"/>
    <x v="0"/>
    <x v="1"/>
    <x v="1"/>
    <x v="138"/>
    <n v="899.97"/>
    <n v="3"/>
    <n v="14"/>
    <s v="Inactive"/>
    <x v="8"/>
    <x v="0"/>
    <n v="196.33498430380385"/>
    <n v="3259.87"/>
    <x v="1"/>
    <n v="26"/>
  </r>
  <r>
    <x v="154"/>
    <d v="2024-12-01T00:00:00"/>
    <x v="6"/>
    <s v="Charles Allen"/>
    <s v="P009"/>
    <x v="0"/>
    <x v="0"/>
    <n v="5"/>
    <n v="249.99"/>
    <x v="0"/>
    <x v="0"/>
    <x v="1"/>
    <x v="148"/>
    <n v="1249.95"/>
    <n v="4"/>
    <n v="14"/>
    <s v="Inactive"/>
    <x v="8"/>
    <x v="0"/>
    <n v="272.685660222607"/>
    <n v="5089.7300000000005"/>
    <x v="0"/>
    <n v="26"/>
  </r>
  <r>
    <x v="155"/>
    <d v="2024-12-01T00:00:00"/>
    <x v="1"/>
    <s v="Joseph Jackson"/>
    <s v="P003"/>
    <x v="3"/>
    <x v="0"/>
    <n v="2"/>
    <n v="149.99"/>
    <x v="0"/>
    <x v="1"/>
    <x v="1"/>
    <x v="149"/>
    <n v="299.98"/>
    <n v="4"/>
    <n v="14"/>
    <s v="Inactive"/>
    <x v="8"/>
    <x v="1"/>
    <n v="65.442813195389931"/>
    <n v="6949.84"/>
    <x v="0"/>
    <n v="16"/>
  </r>
  <r>
    <x v="156"/>
    <d v="2024-12-01T00:00:00"/>
    <x v="14"/>
    <s v="Mark Carter"/>
    <s v="P002"/>
    <x v="5"/>
    <x v="0"/>
    <n v="5"/>
    <n v="699.99"/>
    <x v="3"/>
    <x v="3"/>
    <x v="2"/>
    <x v="150"/>
    <n v="3499.95"/>
    <n v="3"/>
    <n v="14"/>
    <s v="Inactive"/>
    <x v="8"/>
    <x v="0"/>
    <n v="763.53948277620168"/>
    <n v="15659.65"/>
    <x v="0"/>
    <n v="31"/>
  </r>
  <r>
    <x v="157"/>
    <d v="2024-12-03T00:00:00"/>
    <x v="44"/>
    <s v="William White"/>
    <s v="P009"/>
    <x v="0"/>
    <x v="0"/>
    <n v="4"/>
    <n v="249.99"/>
    <x v="2"/>
    <x v="4"/>
    <x v="1"/>
    <x v="151"/>
    <n v="999.96"/>
    <n v="2"/>
    <n v="14"/>
    <s v="Inactive"/>
    <x v="8"/>
    <x v="0"/>
    <n v="218.14852817808563"/>
    <n v="4749.91"/>
    <x v="1"/>
    <n v="26"/>
  </r>
  <r>
    <x v="158"/>
    <d v="2024-12-04T00:00:00"/>
    <x v="5"/>
    <s v="Dorothy Nelson"/>
    <s v="P002"/>
    <x v="5"/>
    <x v="0"/>
    <n v="4"/>
    <n v="699.99"/>
    <x v="1"/>
    <x v="2"/>
    <x v="1"/>
    <x v="152"/>
    <n v="2799.96"/>
    <n v="3"/>
    <n v="14"/>
    <s v="Inactive"/>
    <x v="8"/>
    <x v="0"/>
    <n v="610.8315862209613"/>
    <n v="8269.7900000000009"/>
    <x v="0"/>
    <n v="31"/>
  </r>
  <r>
    <x v="159"/>
    <d v="2024-12-09T00:00:00"/>
    <x v="20"/>
    <s v="Nancy Collins"/>
    <s v="P009"/>
    <x v="0"/>
    <x v="0"/>
    <n v="2"/>
    <n v="249.99"/>
    <x v="1"/>
    <x v="0"/>
    <x v="1"/>
    <x v="153"/>
    <n v="499.98"/>
    <n v="4"/>
    <n v="14"/>
    <s v="Inactive"/>
    <x v="8"/>
    <x v="2"/>
    <n v="109.07426408904281"/>
    <n v="4189.7700000000004"/>
    <x v="1"/>
    <n v="26"/>
  </r>
  <r>
    <x v="160"/>
    <d v="2024-12-09T00:00:00"/>
    <x v="47"/>
    <s v="James Johnson"/>
    <s v="P005"/>
    <x v="1"/>
    <x v="1"/>
    <n v="3"/>
    <n v="59.99"/>
    <x v="0"/>
    <x v="0"/>
    <x v="1"/>
    <x v="154"/>
    <n v="179.97"/>
    <n v="2"/>
    <n v="14"/>
    <s v="Inactive"/>
    <x v="8"/>
    <x v="1"/>
    <n v="39.261761086653529"/>
    <n v="179.97"/>
    <x v="1"/>
    <n v="29"/>
  </r>
  <r>
    <x v="161"/>
    <d v="2024-12-09T00:00:00"/>
    <x v="27"/>
    <s v="Jennifer Taylor"/>
    <s v="P004"/>
    <x v="7"/>
    <x v="1"/>
    <n v="4"/>
    <n v="79.989999999999995"/>
    <x v="3"/>
    <x v="4"/>
    <x v="2"/>
    <x v="155"/>
    <n v="319.95999999999998"/>
    <n v="3"/>
    <n v="14"/>
    <s v="Inactive"/>
    <x v="8"/>
    <x v="2"/>
    <n v="69.801595139665849"/>
    <n v="4739.8500000000004"/>
    <x v="1"/>
    <n v="14"/>
  </r>
  <r>
    <x v="162"/>
    <d v="2024-12-10T00:00:00"/>
    <x v="22"/>
    <s v="Helen Roberts"/>
    <s v="P004"/>
    <x v="7"/>
    <x v="1"/>
    <n v="3"/>
    <n v="79.989999999999995"/>
    <x v="3"/>
    <x v="4"/>
    <x v="2"/>
    <x v="96"/>
    <n v="239.97"/>
    <n v="3"/>
    <n v="14"/>
    <s v="Inactive"/>
    <x v="8"/>
    <x v="1"/>
    <n v="52.351196354749391"/>
    <n v="6459.79"/>
    <x v="0"/>
    <n v="14"/>
  </r>
  <r>
    <x v="163"/>
    <d v="2024-12-12T00:00:00"/>
    <x v="10"/>
    <s v="Peter Richardson"/>
    <s v="P001"/>
    <x v="4"/>
    <x v="0"/>
    <n v="2"/>
    <n v="899.99"/>
    <x v="0"/>
    <x v="2"/>
    <x v="0"/>
    <x v="156"/>
    <n v="1799.98"/>
    <n v="4"/>
    <n v="14"/>
    <s v="Inactive"/>
    <x v="8"/>
    <x v="0"/>
    <n v="392.67869489778644"/>
    <n v="5949.85"/>
    <x v="0"/>
    <n v="24"/>
  </r>
  <r>
    <x v="164"/>
    <d v="2024-12-15T00:00:00"/>
    <x v="35"/>
    <s v="David Martinez"/>
    <s v="P008"/>
    <x v="2"/>
    <x v="2"/>
    <n v="1"/>
    <n v="149.99"/>
    <x v="3"/>
    <x v="4"/>
    <x v="2"/>
    <x v="157"/>
    <n v="149.99"/>
    <n v="2"/>
    <n v="14"/>
    <s v="Inactive"/>
    <x v="8"/>
    <x v="1"/>
    <n v="32.721406597694966"/>
    <n v="1809.84"/>
    <x v="1"/>
    <n v="35"/>
  </r>
  <r>
    <x v="165"/>
    <d v="2024-12-15T00:00:00"/>
    <x v="26"/>
    <s v="Steven Turner"/>
    <s v="P007"/>
    <x v="6"/>
    <x v="2"/>
    <n v="2"/>
    <n v="299.99"/>
    <x v="0"/>
    <x v="4"/>
    <x v="1"/>
    <x v="158"/>
    <n v="599.98"/>
    <n v="3"/>
    <n v="14"/>
    <s v="Inactive"/>
    <x v="8"/>
    <x v="2"/>
    <n v="130.88998953586923"/>
    <n v="2649.83"/>
    <x v="1"/>
    <n v="26"/>
  </r>
  <r>
    <x v="166"/>
    <d v="2024-12-18T00:00:00"/>
    <x v="25"/>
    <s v="Emma Wilson"/>
    <s v="P005"/>
    <x v="1"/>
    <x v="1"/>
    <n v="2"/>
    <n v="59.99"/>
    <x v="0"/>
    <x v="3"/>
    <x v="0"/>
    <x v="159"/>
    <n v="119.98"/>
    <n v="2"/>
    <n v="14"/>
    <s v="Inactive"/>
    <x v="8"/>
    <x v="1"/>
    <n v="26.174507391102356"/>
    <n v="1229.8800000000001"/>
    <x v="1"/>
    <n v="29"/>
  </r>
  <r>
    <x v="167"/>
    <d v="2024-12-19T00:00:00"/>
    <x v="35"/>
    <s v="David Martinez"/>
    <s v="P010"/>
    <x v="8"/>
    <x v="0"/>
    <n v="1"/>
    <n v="89.99"/>
    <x v="3"/>
    <x v="0"/>
    <x v="2"/>
    <x v="160"/>
    <n v="89.99"/>
    <n v="3"/>
    <n v="14"/>
    <s v="Inactive"/>
    <x v="8"/>
    <x v="1"/>
    <n v="19.631971329599107"/>
    <n v="1809.84"/>
    <x v="1"/>
    <n v="34"/>
  </r>
  <r>
    <x v="168"/>
    <d v="2024-12-19T00:00:00"/>
    <x v="29"/>
    <s v="Daniel King"/>
    <s v="P001"/>
    <x v="4"/>
    <x v="0"/>
    <n v="5"/>
    <n v="899.99"/>
    <x v="3"/>
    <x v="4"/>
    <x v="2"/>
    <x v="161"/>
    <n v="4499.95"/>
    <n v="3"/>
    <n v="14"/>
    <s v="Inactive"/>
    <x v="8"/>
    <x v="0"/>
    <n v="981.69673724446602"/>
    <n v="7309.7999999999993"/>
    <x v="0"/>
    <n v="24"/>
  </r>
  <r>
    <x v="169"/>
    <d v="2024-12-20T00:00:00"/>
    <x v="4"/>
    <s v="Michael Brown"/>
    <s v="P008"/>
    <x v="2"/>
    <x v="2"/>
    <n v="2"/>
    <n v="149.99"/>
    <x v="0"/>
    <x v="1"/>
    <x v="0"/>
    <x v="162"/>
    <n v="299.98"/>
    <n v="2"/>
    <n v="14"/>
    <s v="Inactive"/>
    <x v="8"/>
    <x v="1"/>
    <n v="65.442813195389931"/>
    <n v="6169.7400000000007"/>
    <x v="0"/>
    <n v="35"/>
  </r>
  <r>
    <x v="170"/>
    <d v="2024-12-22T00:00:00"/>
    <x v="21"/>
    <s v="Linda Martin"/>
    <s v="P003"/>
    <x v="3"/>
    <x v="0"/>
    <n v="2"/>
    <n v="149.99"/>
    <x v="3"/>
    <x v="3"/>
    <x v="1"/>
    <x v="163"/>
    <n v="299.98"/>
    <n v="2"/>
    <n v="14"/>
    <s v="Inactive"/>
    <x v="8"/>
    <x v="1"/>
    <n v="65.442813195389931"/>
    <n v="1289.9000000000001"/>
    <x v="1"/>
    <n v="16"/>
  </r>
  <r>
    <x v="171"/>
    <d v="2024-12-22T00:00:00"/>
    <x v="35"/>
    <s v="David Martinez"/>
    <s v="P008"/>
    <x v="2"/>
    <x v="2"/>
    <n v="3"/>
    <n v="149.99"/>
    <x v="3"/>
    <x v="2"/>
    <x v="2"/>
    <x v="164"/>
    <n v="449.97"/>
    <n v="4"/>
    <n v="14"/>
    <s v="Inactive"/>
    <x v="8"/>
    <x v="2"/>
    <n v="98.164219793084911"/>
    <n v="1809.84"/>
    <x v="1"/>
    <n v="35"/>
  </r>
  <r>
    <x v="172"/>
    <d v="2024-12-23T00:00:00"/>
    <x v="2"/>
    <s v="Kevin Scott"/>
    <s v="P007"/>
    <x v="6"/>
    <x v="2"/>
    <n v="2"/>
    <n v="299.99"/>
    <x v="2"/>
    <x v="1"/>
    <x v="0"/>
    <x v="165"/>
    <n v="599.98"/>
    <n v="3"/>
    <n v="14"/>
    <s v="Inactive"/>
    <x v="8"/>
    <x v="2"/>
    <n v="130.88998953586923"/>
    <n v="3259.87"/>
    <x v="1"/>
    <n v="26"/>
  </r>
  <r>
    <x v="173"/>
    <d v="2024-12-28T00:00:00"/>
    <x v="4"/>
    <s v="Michael Brown"/>
    <s v="P007"/>
    <x v="6"/>
    <x v="2"/>
    <n v="2"/>
    <n v="299.99"/>
    <x v="0"/>
    <x v="3"/>
    <x v="0"/>
    <x v="166"/>
    <n v="599.98"/>
    <n v="3"/>
    <n v="13"/>
    <s v="Inactive"/>
    <x v="8"/>
    <x v="2"/>
    <n v="130.88998953586923"/>
    <n v="6169.7400000000007"/>
    <x v="0"/>
    <n v="26"/>
  </r>
  <r>
    <x v="174"/>
    <d v="2024-12-28T00:00:00"/>
    <x v="22"/>
    <s v="Helen Roberts"/>
    <s v="P006"/>
    <x v="9"/>
    <x v="2"/>
    <n v="4"/>
    <n v="199.99"/>
    <x v="1"/>
    <x v="0"/>
    <x v="0"/>
    <x v="82"/>
    <n v="799.96"/>
    <n v="4"/>
    <n v="13"/>
    <s v="Inactive"/>
    <x v="8"/>
    <x v="0"/>
    <n v="174.51707728443276"/>
    <n v="6459.79"/>
    <x v="0"/>
    <n v="15"/>
  </r>
  <r>
    <x v="175"/>
    <d v="2024-12-29T00:00:00"/>
    <x v="7"/>
    <s v="Robert Thomas"/>
    <s v="P010"/>
    <x v="8"/>
    <x v="0"/>
    <n v="1"/>
    <n v="89.99"/>
    <x v="1"/>
    <x v="1"/>
    <x v="1"/>
    <x v="167"/>
    <n v="89.99"/>
    <n v="4"/>
    <n v="13"/>
    <s v="Inactive"/>
    <x v="8"/>
    <x v="1"/>
    <n v="19.631971329599107"/>
    <n v="3509.8999999999996"/>
    <x v="1"/>
    <n v="34"/>
  </r>
  <r>
    <x v="176"/>
    <d v="2024-12-29T00:00:00"/>
    <x v="20"/>
    <s v="Nancy Collins"/>
    <s v="P008"/>
    <x v="2"/>
    <x v="2"/>
    <n v="5"/>
    <n v="149.99"/>
    <x v="0"/>
    <x v="0"/>
    <x v="1"/>
    <x v="168"/>
    <n v="749.95"/>
    <n v="2"/>
    <n v="13"/>
    <s v="Inactive"/>
    <x v="8"/>
    <x v="0"/>
    <n v="163.60703298847483"/>
    <n v="4189.7700000000004"/>
    <x v="1"/>
    <n v="35"/>
  </r>
  <r>
    <x v="177"/>
    <d v="2024-12-31T00:00:00"/>
    <x v="14"/>
    <s v="Mark Carter"/>
    <s v="P001"/>
    <x v="4"/>
    <x v="0"/>
    <n v="1"/>
    <n v="899.99"/>
    <x v="2"/>
    <x v="2"/>
    <x v="1"/>
    <x v="169"/>
    <n v="899.99"/>
    <n v="2"/>
    <n v="13"/>
    <s v="Inactive"/>
    <x v="8"/>
    <x v="0"/>
    <n v="196.33934744889322"/>
    <n v="15659.65"/>
    <x v="0"/>
    <n v="24"/>
  </r>
  <r>
    <x v="178"/>
    <d v="2025-01-03T00:00:00"/>
    <x v="29"/>
    <s v="Daniel King"/>
    <s v="P010"/>
    <x v="8"/>
    <x v="0"/>
    <n v="2"/>
    <n v="89.99"/>
    <x v="1"/>
    <x v="1"/>
    <x v="1"/>
    <x v="170"/>
    <n v="179.98"/>
    <n v="4"/>
    <n v="13"/>
    <s v="Inactive"/>
    <x v="9"/>
    <x v="1"/>
    <n v="39.263942659198214"/>
    <n v="7309.7999999999993"/>
    <x v="0"/>
    <n v="34"/>
  </r>
  <r>
    <x v="179"/>
    <d v="2025-01-04T00:00:00"/>
    <x v="48"/>
    <s v="Arthur Edwards"/>
    <s v="P001"/>
    <x v="4"/>
    <x v="0"/>
    <n v="1"/>
    <n v="899.99"/>
    <x v="2"/>
    <x v="2"/>
    <x v="2"/>
    <x v="171"/>
    <n v="899.99"/>
    <n v="3"/>
    <n v="13"/>
    <s v="Inactive"/>
    <x v="9"/>
    <x v="0"/>
    <n v="196.33934744889322"/>
    <n v="1559.94"/>
    <x v="1"/>
    <n v="24"/>
  </r>
  <r>
    <x v="180"/>
    <d v="2025-01-06T00:00:00"/>
    <x v="24"/>
    <s v="Lisa Anderson"/>
    <s v="P003"/>
    <x v="3"/>
    <x v="0"/>
    <n v="5"/>
    <n v="149.99"/>
    <x v="2"/>
    <x v="4"/>
    <x v="1"/>
    <x v="34"/>
    <n v="749.95"/>
    <n v="3"/>
    <n v="13"/>
    <s v="Inactive"/>
    <x v="9"/>
    <x v="0"/>
    <n v="163.60703298847483"/>
    <n v="2039.8000000000002"/>
    <x v="1"/>
    <n v="16"/>
  </r>
  <r>
    <x v="181"/>
    <d v="2025-01-06T00:00:00"/>
    <x v="4"/>
    <s v="Michael Brown"/>
    <s v="P007"/>
    <x v="6"/>
    <x v="2"/>
    <n v="3"/>
    <n v="299.99"/>
    <x v="0"/>
    <x v="1"/>
    <x v="2"/>
    <x v="172"/>
    <n v="899.97"/>
    <n v="4"/>
    <n v="13"/>
    <s v="Inactive"/>
    <x v="9"/>
    <x v="0"/>
    <n v="196.33498430380385"/>
    <n v="6169.7400000000007"/>
    <x v="0"/>
    <n v="26"/>
  </r>
  <r>
    <x v="182"/>
    <d v="2025-01-09T00:00:00"/>
    <x v="8"/>
    <s v="Karen Hill"/>
    <s v="P002"/>
    <x v="5"/>
    <x v="0"/>
    <n v="3"/>
    <n v="699.99"/>
    <x v="1"/>
    <x v="0"/>
    <x v="1"/>
    <x v="173"/>
    <n v="2099.9699999999998"/>
    <n v="2"/>
    <n v="13"/>
    <s v="Inactive"/>
    <x v="9"/>
    <x v="0"/>
    <n v="458.12368966572097"/>
    <n v="8009.7699999999995"/>
    <x v="0"/>
    <n v="31"/>
  </r>
  <r>
    <x v="183"/>
    <d v="2025-01-10T00:00:00"/>
    <x v="20"/>
    <s v="Nancy Collins"/>
    <s v="P006"/>
    <x v="9"/>
    <x v="2"/>
    <n v="5"/>
    <n v="199.99"/>
    <x v="2"/>
    <x v="0"/>
    <x v="2"/>
    <x v="174"/>
    <n v="999.95"/>
    <n v="3"/>
    <n v="13"/>
    <s v="Inactive"/>
    <x v="9"/>
    <x v="0"/>
    <n v="218.14634660554094"/>
    <n v="4189.7700000000004"/>
    <x v="1"/>
    <n v="15"/>
  </r>
  <r>
    <x v="184"/>
    <d v="2025-01-10T00:00:00"/>
    <x v="16"/>
    <s v="Virginia Sanders"/>
    <s v="P009"/>
    <x v="0"/>
    <x v="0"/>
    <n v="5"/>
    <n v="249.99"/>
    <x v="1"/>
    <x v="1"/>
    <x v="0"/>
    <x v="175"/>
    <n v="1249.95"/>
    <n v="2"/>
    <n v="13"/>
    <s v="Inactive"/>
    <x v="9"/>
    <x v="0"/>
    <n v="272.685660222607"/>
    <n v="4789.7900000000009"/>
    <x v="1"/>
    <n v="26"/>
  </r>
  <r>
    <x v="185"/>
    <d v="2025-01-11T00:00:00"/>
    <x v="26"/>
    <s v="Steven Turner"/>
    <s v="P003"/>
    <x v="3"/>
    <x v="0"/>
    <n v="4"/>
    <n v="149.99"/>
    <x v="3"/>
    <x v="4"/>
    <x v="2"/>
    <x v="176"/>
    <n v="599.96"/>
    <n v="4"/>
    <n v="13"/>
    <s v="Inactive"/>
    <x v="9"/>
    <x v="2"/>
    <n v="130.88562639077986"/>
    <n v="2649.83"/>
    <x v="1"/>
    <n v="16"/>
  </r>
  <r>
    <x v="186"/>
    <d v="2025-01-11T00:00:00"/>
    <x v="12"/>
    <s v="Michelle Rogers"/>
    <s v="P002"/>
    <x v="5"/>
    <x v="0"/>
    <n v="3"/>
    <n v="699.99"/>
    <x v="0"/>
    <x v="2"/>
    <x v="1"/>
    <x v="177"/>
    <n v="2099.9699999999998"/>
    <n v="4"/>
    <n v="13"/>
    <s v="Inactive"/>
    <x v="9"/>
    <x v="0"/>
    <n v="458.12368966572097"/>
    <n v="4199.9399999999996"/>
    <x v="1"/>
    <n v="31"/>
  </r>
  <r>
    <x v="187"/>
    <d v="2025-01-13T00:00:00"/>
    <x v="46"/>
    <s v="Douglas Watson"/>
    <s v="P004"/>
    <x v="7"/>
    <x v="1"/>
    <n v="1"/>
    <n v="79.989999999999995"/>
    <x v="1"/>
    <x v="1"/>
    <x v="0"/>
    <x v="178"/>
    <n v="79.989999999999995"/>
    <n v="2"/>
    <n v="13"/>
    <s v="Inactive"/>
    <x v="9"/>
    <x v="1"/>
    <n v="17.450398784916462"/>
    <n v="4829.8899999999994"/>
    <x v="1"/>
    <n v="14"/>
  </r>
  <r>
    <x v="188"/>
    <d v="2025-01-13T00:00:00"/>
    <x v="14"/>
    <s v="Mark Carter"/>
    <s v="P007"/>
    <x v="6"/>
    <x v="2"/>
    <n v="1"/>
    <n v="299.99"/>
    <x v="1"/>
    <x v="2"/>
    <x v="0"/>
    <x v="179"/>
    <n v="299.99"/>
    <n v="4"/>
    <n v="13"/>
    <s v="Inactive"/>
    <x v="9"/>
    <x v="1"/>
    <n v="65.444994767934617"/>
    <n v="15659.65"/>
    <x v="0"/>
    <n v="26"/>
  </r>
  <r>
    <x v="189"/>
    <d v="2025-01-14T00:00:00"/>
    <x v="32"/>
    <s v="Betty Campbell"/>
    <s v="P009"/>
    <x v="0"/>
    <x v="0"/>
    <n v="4"/>
    <n v="249.99"/>
    <x v="1"/>
    <x v="2"/>
    <x v="1"/>
    <x v="116"/>
    <n v="999.96"/>
    <n v="4"/>
    <n v="13"/>
    <s v="Inactive"/>
    <x v="9"/>
    <x v="0"/>
    <n v="218.14852817808563"/>
    <n v="5649.84"/>
    <x v="0"/>
    <n v="26"/>
  </r>
  <r>
    <x v="190"/>
    <d v="2025-01-14T00:00:00"/>
    <x v="22"/>
    <s v="Helen Roberts"/>
    <s v="P003"/>
    <x v="3"/>
    <x v="0"/>
    <n v="2"/>
    <n v="149.99"/>
    <x v="0"/>
    <x v="2"/>
    <x v="2"/>
    <x v="180"/>
    <n v="299.98"/>
    <n v="3"/>
    <n v="13"/>
    <s v="Inactive"/>
    <x v="9"/>
    <x v="1"/>
    <n v="65.442813195389931"/>
    <n v="6459.79"/>
    <x v="0"/>
    <n v="16"/>
  </r>
  <r>
    <x v="191"/>
    <d v="2025-01-14T00:00:00"/>
    <x v="42"/>
    <s v="Sandra Phillips"/>
    <s v="P007"/>
    <x v="6"/>
    <x v="2"/>
    <n v="3"/>
    <n v="299.99"/>
    <x v="1"/>
    <x v="1"/>
    <x v="0"/>
    <x v="181"/>
    <n v="899.97"/>
    <n v="2"/>
    <n v="13"/>
    <s v="Inactive"/>
    <x v="9"/>
    <x v="0"/>
    <n v="196.33498430380385"/>
    <n v="6349.83"/>
    <x v="0"/>
    <n v="26"/>
  </r>
  <r>
    <x v="192"/>
    <d v="2025-01-16T00:00:00"/>
    <x v="40"/>
    <s v="Lawrence Reed"/>
    <s v="P006"/>
    <x v="9"/>
    <x v="2"/>
    <n v="4"/>
    <n v="199.99"/>
    <x v="3"/>
    <x v="1"/>
    <x v="2"/>
    <x v="182"/>
    <n v="799.96"/>
    <n v="4"/>
    <n v="13"/>
    <s v="Inactive"/>
    <x v="9"/>
    <x v="0"/>
    <n v="174.51707728443276"/>
    <n v="6989.7699999999986"/>
    <x v="0"/>
    <n v="15"/>
  </r>
  <r>
    <x v="193"/>
    <d v="2025-01-16T00:00:00"/>
    <x v="39"/>
    <s v="Elizabeth Hall"/>
    <s v="P007"/>
    <x v="6"/>
    <x v="2"/>
    <n v="5"/>
    <n v="299.99"/>
    <x v="3"/>
    <x v="0"/>
    <x v="0"/>
    <x v="183"/>
    <n v="1499.95"/>
    <n v="4"/>
    <n v="13"/>
    <s v="Inactive"/>
    <x v="9"/>
    <x v="0"/>
    <n v="327.22497383967311"/>
    <n v="3649.8599999999997"/>
    <x v="1"/>
    <n v="26"/>
  </r>
  <r>
    <x v="194"/>
    <d v="2025-01-16T00:00:00"/>
    <x v="7"/>
    <s v="Robert Thomas"/>
    <s v="P008"/>
    <x v="2"/>
    <x v="2"/>
    <n v="3"/>
    <n v="149.99"/>
    <x v="1"/>
    <x v="4"/>
    <x v="2"/>
    <x v="184"/>
    <n v="449.97"/>
    <n v="4"/>
    <n v="13"/>
    <s v="Inactive"/>
    <x v="9"/>
    <x v="2"/>
    <n v="98.164219793084911"/>
    <n v="3509.8999999999996"/>
    <x v="1"/>
    <n v="35"/>
  </r>
  <r>
    <x v="195"/>
    <d v="2025-01-19T00:00:00"/>
    <x v="24"/>
    <s v="Lisa Anderson"/>
    <s v="P005"/>
    <x v="1"/>
    <x v="1"/>
    <n v="5"/>
    <n v="59.99"/>
    <x v="3"/>
    <x v="4"/>
    <x v="0"/>
    <x v="185"/>
    <n v="299.95"/>
    <n v="3"/>
    <n v="13"/>
    <s v="Inactive"/>
    <x v="9"/>
    <x v="1"/>
    <n v="65.436268477755888"/>
    <n v="2039.8000000000002"/>
    <x v="1"/>
    <n v="29"/>
  </r>
  <r>
    <x v="196"/>
    <d v="2025-01-25T00:00:00"/>
    <x v="9"/>
    <s v="Susan Green"/>
    <s v="P005"/>
    <x v="1"/>
    <x v="1"/>
    <n v="4"/>
    <n v="59.99"/>
    <x v="3"/>
    <x v="4"/>
    <x v="2"/>
    <x v="170"/>
    <n v="239.96"/>
    <n v="4"/>
    <n v="13"/>
    <s v="Inactive"/>
    <x v="9"/>
    <x v="1"/>
    <n v="52.349014782204712"/>
    <n v="1979.89"/>
    <x v="1"/>
    <n v="29"/>
  </r>
  <r>
    <x v="197"/>
    <d v="2025-01-26T00:00:00"/>
    <x v="5"/>
    <s v="Dorothy Nelson"/>
    <s v="P009"/>
    <x v="0"/>
    <x v="0"/>
    <n v="4"/>
    <n v="249.99"/>
    <x v="3"/>
    <x v="0"/>
    <x v="1"/>
    <x v="186"/>
    <n v="999.96"/>
    <n v="2"/>
    <n v="13"/>
    <s v="Inactive"/>
    <x v="9"/>
    <x v="0"/>
    <n v="218.14852817808563"/>
    <n v="8269.7900000000009"/>
    <x v="0"/>
    <n v="26"/>
  </r>
  <r>
    <x v="198"/>
    <d v="2025-01-29T00:00:00"/>
    <x v="44"/>
    <s v="William White"/>
    <s v="P001"/>
    <x v="4"/>
    <x v="0"/>
    <n v="4"/>
    <n v="899.99"/>
    <x v="2"/>
    <x v="0"/>
    <x v="0"/>
    <x v="187"/>
    <n v="3599.96"/>
    <n v="3"/>
    <n v="12"/>
    <s v="Active"/>
    <x v="9"/>
    <x v="0"/>
    <n v="785.35738979557289"/>
    <n v="4749.91"/>
    <x v="1"/>
    <n v="24"/>
  </r>
  <r>
    <x v="199"/>
    <d v="2025-01-29T00:00:00"/>
    <x v="14"/>
    <s v="Mark Carter"/>
    <s v="P007"/>
    <x v="6"/>
    <x v="2"/>
    <n v="3"/>
    <n v="299.99"/>
    <x v="3"/>
    <x v="3"/>
    <x v="2"/>
    <x v="188"/>
    <n v="899.97"/>
    <n v="3"/>
    <n v="12"/>
    <s v="Active"/>
    <x v="9"/>
    <x v="0"/>
    <n v="196.33498430380385"/>
    <n v="15659.65"/>
    <x v="0"/>
    <n v="26"/>
  </r>
  <r>
    <x v="200"/>
    <d v="2025-01-29T00:00:00"/>
    <x v="46"/>
    <s v="Douglas Watson"/>
    <s v="P002"/>
    <x v="5"/>
    <x v="0"/>
    <n v="2"/>
    <n v="699.99"/>
    <x v="3"/>
    <x v="0"/>
    <x v="1"/>
    <x v="189"/>
    <n v="1399.98"/>
    <n v="3"/>
    <n v="12"/>
    <s v="Active"/>
    <x v="9"/>
    <x v="0"/>
    <n v="305.41579311048065"/>
    <n v="4829.8899999999994"/>
    <x v="1"/>
    <n v="31"/>
  </r>
  <r>
    <x v="201"/>
    <d v="2025-01-31T00:00:00"/>
    <x v="8"/>
    <s v="Karen Hill"/>
    <s v="P002"/>
    <x v="5"/>
    <x v="0"/>
    <n v="4"/>
    <n v="699.99"/>
    <x v="3"/>
    <x v="3"/>
    <x v="1"/>
    <x v="190"/>
    <n v="2799.96"/>
    <n v="3"/>
    <n v="12"/>
    <s v="Active"/>
    <x v="9"/>
    <x v="0"/>
    <n v="610.8315862209613"/>
    <n v="8009.7699999999995"/>
    <x v="0"/>
    <n v="31"/>
  </r>
  <r>
    <x v="202"/>
    <d v="2025-01-31T00:00:00"/>
    <x v="23"/>
    <s v="Edward Mitchell"/>
    <s v="P010"/>
    <x v="8"/>
    <x v="0"/>
    <n v="2"/>
    <n v="89.99"/>
    <x v="3"/>
    <x v="1"/>
    <x v="0"/>
    <x v="191"/>
    <n v="179.98"/>
    <n v="3"/>
    <n v="12"/>
    <s v="Active"/>
    <x v="9"/>
    <x v="1"/>
    <n v="39.263942659198214"/>
    <n v="11919.769999999999"/>
    <x v="0"/>
    <n v="34"/>
  </r>
  <r>
    <x v="203"/>
    <d v="2025-01-31T00:00:00"/>
    <x v="4"/>
    <s v="Michael Brown"/>
    <s v="P010"/>
    <x v="8"/>
    <x v="0"/>
    <n v="3"/>
    <n v="89.99"/>
    <x v="3"/>
    <x v="1"/>
    <x v="1"/>
    <x v="192"/>
    <n v="269.97000000000003"/>
    <n v="2"/>
    <n v="12"/>
    <s v="Active"/>
    <x v="9"/>
    <x v="1"/>
    <n v="58.895913988797318"/>
    <n v="6169.7400000000007"/>
    <x v="0"/>
    <n v="34"/>
  </r>
  <r>
    <x v="204"/>
    <d v="2025-02-04T00:00:00"/>
    <x v="48"/>
    <s v="Arthur Edwards"/>
    <s v="P005"/>
    <x v="1"/>
    <x v="1"/>
    <n v="1"/>
    <n v="59.99"/>
    <x v="3"/>
    <x v="0"/>
    <x v="2"/>
    <x v="193"/>
    <n v="59.99"/>
    <n v="2"/>
    <n v="12"/>
    <s v="Active"/>
    <x v="10"/>
    <x v="1"/>
    <n v="13.087253695551178"/>
    <n v="1559.94"/>
    <x v="1"/>
    <n v="29"/>
  </r>
  <r>
    <x v="205"/>
    <d v="2025-02-07T00:00:00"/>
    <x v="43"/>
    <s v="Ruth Brooks"/>
    <s v="P008"/>
    <x v="2"/>
    <x v="2"/>
    <n v="3"/>
    <n v="149.99"/>
    <x v="3"/>
    <x v="2"/>
    <x v="1"/>
    <x v="170"/>
    <n v="449.97"/>
    <n v="4"/>
    <n v="12"/>
    <s v="Active"/>
    <x v="10"/>
    <x v="2"/>
    <n v="98.164219793084911"/>
    <n v="1749.92"/>
    <x v="1"/>
    <n v="35"/>
  </r>
  <r>
    <x v="206"/>
    <d v="2025-02-07T00:00:00"/>
    <x v="16"/>
    <s v="Virginia Sanders"/>
    <s v="P007"/>
    <x v="6"/>
    <x v="2"/>
    <n v="5"/>
    <n v="299.99"/>
    <x v="1"/>
    <x v="1"/>
    <x v="0"/>
    <x v="194"/>
    <n v="1499.95"/>
    <n v="3"/>
    <n v="12"/>
    <s v="Active"/>
    <x v="10"/>
    <x v="0"/>
    <n v="327.22497383967311"/>
    <n v="4789.7900000000009"/>
    <x v="1"/>
    <n v="26"/>
  </r>
  <r>
    <x v="207"/>
    <d v="2025-02-08T00:00:00"/>
    <x v="30"/>
    <s v="Sharon Butler"/>
    <s v="P005"/>
    <x v="1"/>
    <x v="1"/>
    <n v="5"/>
    <n v="59.99"/>
    <x v="3"/>
    <x v="0"/>
    <x v="2"/>
    <x v="195"/>
    <n v="299.95"/>
    <n v="2"/>
    <n v="12"/>
    <s v="Active"/>
    <x v="10"/>
    <x v="1"/>
    <n v="65.436268477755888"/>
    <n v="5619.869999999999"/>
    <x v="0"/>
    <n v="29"/>
  </r>
  <r>
    <x v="208"/>
    <d v="2025-02-13T00:00:00"/>
    <x v="20"/>
    <s v="Nancy Collins"/>
    <s v="P004"/>
    <x v="7"/>
    <x v="1"/>
    <n v="3"/>
    <n v="79.989999999999995"/>
    <x v="0"/>
    <x v="4"/>
    <x v="1"/>
    <x v="179"/>
    <n v="239.97"/>
    <n v="4"/>
    <n v="12"/>
    <s v="Active"/>
    <x v="10"/>
    <x v="1"/>
    <n v="52.351196354749391"/>
    <n v="4189.7700000000004"/>
    <x v="1"/>
    <n v="14"/>
  </r>
  <r>
    <x v="209"/>
    <d v="2025-02-16T00:00:00"/>
    <x v="2"/>
    <s v="Kevin Scott"/>
    <s v="P006"/>
    <x v="9"/>
    <x v="2"/>
    <n v="3"/>
    <n v="199.99"/>
    <x v="0"/>
    <x v="0"/>
    <x v="0"/>
    <x v="196"/>
    <n v="599.97"/>
    <n v="3"/>
    <n v="12"/>
    <s v="Active"/>
    <x v="10"/>
    <x v="2"/>
    <n v="130.88780796332455"/>
    <n v="3259.87"/>
    <x v="1"/>
    <n v="15"/>
  </r>
  <r>
    <x v="210"/>
    <d v="2025-02-16T00:00:00"/>
    <x v="0"/>
    <s v="Paul Baker"/>
    <s v="P010"/>
    <x v="8"/>
    <x v="0"/>
    <n v="2"/>
    <n v="89.99"/>
    <x v="2"/>
    <x v="0"/>
    <x v="0"/>
    <x v="197"/>
    <n v="179.98"/>
    <n v="2"/>
    <n v="12"/>
    <s v="Active"/>
    <x v="10"/>
    <x v="1"/>
    <n v="39.263942659198214"/>
    <n v="8309.739999999998"/>
    <x v="0"/>
    <n v="34"/>
  </r>
  <r>
    <x v="211"/>
    <d v="2025-02-17T00:00:00"/>
    <x v="45"/>
    <s v="Richard Lee"/>
    <s v="P008"/>
    <x v="2"/>
    <x v="2"/>
    <n v="2"/>
    <n v="149.99"/>
    <x v="0"/>
    <x v="1"/>
    <x v="1"/>
    <x v="198"/>
    <n v="299.98"/>
    <n v="3"/>
    <n v="12"/>
    <s v="Active"/>
    <x v="10"/>
    <x v="1"/>
    <n v="65.442813195389931"/>
    <n v="739.93000000000006"/>
    <x v="1"/>
    <n v="35"/>
  </r>
  <r>
    <x v="212"/>
    <d v="2025-02-19T00:00:00"/>
    <x v="23"/>
    <s v="Edward Mitchell"/>
    <s v="P002"/>
    <x v="5"/>
    <x v="0"/>
    <n v="5"/>
    <n v="699.99"/>
    <x v="2"/>
    <x v="1"/>
    <x v="1"/>
    <x v="54"/>
    <n v="3499.95"/>
    <n v="1"/>
    <n v="12"/>
    <s v="Active"/>
    <x v="10"/>
    <x v="0"/>
    <n v="763.53948277620168"/>
    <n v="11919.769999999999"/>
    <x v="0"/>
    <n v="31"/>
  </r>
  <r>
    <x v="213"/>
    <d v="2025-02-19T00:00:00"/>
    <x v="4"/>
    <s v="Michael Brown"/>
    <s v="P008"/>
    <x v="2"/>
    <x v="2"/>
    <n v="3"/>
    <n v="149.99"/>
    <x v="2"/>
    <x v="0"/>
    <x v="2"/>
    <x v="174"/>
    <n v="449.97"/>
    <n v="3"/>
    <n v="12"/>
    <s v="Active"/>
    <x v="10"/>
    <x v="2"/>
    <n v="98.164219793084911"/>
    <n v="6169.7400000000007"/>
    <x v="0"/>
    <n v="35"/>
  </r>
  <r>
    <x v="214"/>
    <d v="2025-02-20T00:00:00"/>
    <x v="17"/>
    <s v="Barbara Young"/>
    <s v="P001"/>
    <x v="4"/>
    <x v="0"/>
    <n v="3"/>
    <n v="899.99"/>
    <x v="0"/>
    <x v="4"/>
    <x v="2"/>
    <x v="199"/>
    <n v="2699.97"/>
    <n v="4"/>
    <n v="12"/>
    <s v="Active"/>
    <x v="10"/>
    <x v="0"/>
    <n v="589.01804234667964"/>
    <n v="10649.8"/>
    <x v="0"/>
    <n v="24"/>
  </r>
  <r>
    <x v="215"/>
    <d v="2025-02-20T00:00:00"/>
    <x v="37"/>
    <s v="Frank Torres"/>
    <s v="P006"/>
    <x v="9"/>
    <x v="2"/>
    <n v="3"/>
    <n v="199.99"/>
    <x v="0"/>
    <x v="3"/>
    <x v="1"/>
    <x v="31"/>
    <n v="599.97"/>
    <n v="3"/>
    <n v="12"/>
    <s v="Active"/>
    <x v="10"/>
    <x v="2"/>
    <n v="130.88780796332455"/>
    <n v="1479.91"/>
    <x v="1"/>
    <n v="15"/>
  </r>
  <r>
    <x v="216"/>
    <d v="2025-02-22T00:00:00"/>
    <x v="6"/>
    <s v="Charles Allen"/>
    <s v="P007"/>
    <x v="6"/>
    <x v="2"/>
    <n v="5"/>
    <n v="299.99"/>
    <x v="0"/>
    <x v="3"/>
    <x v="2"/>
    <x v="200"/>
    <n v="1499.95"/>
    <n v="2"/>
    <n v="12"/>
    <s v="Active"/>
    <x v="10"/>
    <x v="0"/>
    <n v="327.22497383967311"/>
    <n v="5089.7300000000005"/>
    <x v="0"/>
    <n v="26"/>
  </r>
  <r>
    <x v="217"/>
    <d v="2025-02-22T00:00:00"/>
    <x v="30"/>
    <s v="Sharon Butler"/>
    <s v="P002"/>
    <x v="5"/>
    <x v="0"/>
    <n v="1"/>
    <n v="699.99"/>
    <x v="2"/>
    <x v="3"/>
    <x v="0"/>
    <x v="201"/>
    <n v="699.99"/>
    <n v="3"/>
    <n v="12"/>
    <s v="Active"/>
    <x v="10"/>
    <x v="2"/>
    <n v="152.70789655524032"/>
    <n v="5619.869999999999"/>
    <x v="0"/>
    <n v="31"/>
  </r>
  <r>
    <x v="218"/>
    <d v="2025-02-23T00:00:00"/>
    <x v="43"/>
    <s v="Ruth Brooks"/>
    <s v="P002"/>
    <x v="5"/>
    <x v="0"/>
    <n v="1"/>
    <n v="699.99"/>
    <x v="0"/>
    <x v="2"/>
    <x v="1"/>
    <x v="145"/>
    <n v="699.99"/>
    <n v="4"/>
    <n v="12"/>
    <s v="Active"/>
    <x v="10"/>
    <x v="2"/>
    <n v="152.70789655524032"/>
    <n v="1749.92"/>
    <x v="1"/>
    <n v="31"/>
  </r>
  <r>
    <x v="219"/>
    <d v="2025-02-23T00:00:00"/>
    <x v="48"/>
    <s v="Arthur Edwards"/>
    <s v="P008"/>
    <x v="2"/>
    <x v="2"/>
    <n v="4"/>
    <n v="149.99"/>
    <x v="2"/>
    <x v="2"/>
    <x v="1"/>
    <x v="30"/>
    <n v="599.96"/>
    <n v="4"/>
    <n v="12"/>
    <s v="Active"/>
    <x v="10"/>
    <x v="2"/>
    <n v="130.88562639077986"/>
    <n v="1559.94"/>
    <x v="1"/>
    <n v="35"/>
  </r>
  <r>
    <x v="220"/>
    <d v="2025-02-23T00:00:00"/>
    <x v="39"/>
    <s v="Elizabeth Hall"/>
    <s v="P010"/>
    <x v="8"/>
    <x v="0"/>
    <n v="5"/>
    <n v="89.99"/>
    <x v="2"/>
    <x v="3"/>
    <x v="1"/>
    <x v="202"/>
    <n v="449.95"/>
    <n v="2"/>
    <n v="12"/>
    <s v="Active"/>
    <x v="10"/>
    <x v="2"/>
    <n v="98.159856647995539"/>
    <n v="3649.8599999999997"/>
    <x v="1"/>
    <n v="34"/>
  </r>
  <r>
    <x v="221"/>
    <d v="2025-02-24T00:00:00"/>
    <x v="26"/>
    <s v="Steven Turner"/>
    <s v="P006"/>
    <x v="9"/>
    <x v="2"/>
    <n v="2"/>
    <n v="199.99"/>
    <x v="0"/>
    <x v="0"/>
    <x v="1"/>
    <x v="203"/>
    <n v="399.98"/>
    <n v="4"/>
    <n v="12"/>
    <s v="Active"/>
    <x v="10"/>
    <x v="2"/>
    <n v="87.258538642216379"/>
    <n v="2649.83"/>
    <x v="1"/>
    <n v="15"/>
  </r>
  <r>
    <x v="222"/>
    <d v="2025-02-27T00:00:00"/>
    <x v="45"/>
    <s v="Richard Lee"/>
    <s v="P005"/>
    <x v="1"/>
    <x v="1"/>
    <n v="4"/>
    <n v="59.99"/>
    <x v="0"/>
    <x v="3"/>
    <x v="2"/>
    <x v="204"/>
    <n v="239.96"/>
    <n v="2"/>
    <n v="12"/>
    <s v="Active"/>
    <x v="10"/>
    <x v="1"/>
    <n v="52.349014782204712"/>
    <n v="739.93000000000006"/>
    <x v="1"/>
    <n v="29"/>
  </r>
  <r>
    <x v="223"/>
    <d v="2025-02-27T00:00:00"/>
    <x v="16"/>
    <s v="Virginia Sanders"/>
    <s v="P007"/>
    <x v="6"/>
    <x v="2"/>
    <n v="2"/>
    <n v="299.99"/>
    <x v="2"/>
    <x v="1"/>
    <x v="0"/>
    <x v="205"/>
    <n v="599.98"/>
    <n v="4"/>
    <n v="12"/>
    <s v="Active"/>
    <x v="10"/>
    <x v="2"/>
    <n v="130.88998953586923"/>
    <n v="4789.7900000000009"/>
    <x v="1"/>
    <n v="26"/>
  </r>
  <r>
    <x v="224"/>
    <d v="2025-03-02T00:00:00"/>
    <x v="6"/>
    <s v="Charles Allen"/>
    <s v="P008"/>
    <x v="2"/>
    <x v="2"/>
    <n v="2"/>
    <n v="149.99"/>
    <x v="0"/>
    <x v="0"/>
    <x v="0"/>
    <x v="32"/>
    <n v="299.98"/>
    <n v="2"/>
    <n v="11"/>
    <s v="Active"/>
    <x v="11"/>
    <x v="1"/>
    <n v="65.442813195389931"/>
    <n v="5089.7300000000005"/>
    <x v="0"/>
    <n v="35"/>
  </r>
  <r>
    <x v="225"/>
    <d v="2025-03-04T00:00:00"/>
    <x v="40"/>
    <s v="Lawrence Reed"/>
    <s v="P002"/>
    <x v="5"/>
    <x v="0"/>
    <n v="5"/>
    <n v="699.99"/>
    <x v="3"/>
    <x v="4"/>
    <x v="1"/>
    <x v="65"/>
    <n v="3499.95"/>
    <n v="2"/>
    <n v="11"/>
    <s v="Active"/>
    <x v="11"/>
    <x v="0"/>
    <n v="763.53948277620168"/>
    <n v="6989.7699999999986"/>
    <x v="0"/>
    <n v="31"/>
  </r>
  <r>
    <x v="226"/>
    <d v="2025-03-05T00:00:00"/>
    <x v="11"/>
    <s v="Dennis Gray"/>
    <s v="P005"/>
    <x v="1"/>
    <x v="1"/>
    <n v="5"/>
    <n v="59.99"/>
    <x v="0"/>
    <x v="3"/>
    <x v="1"/>
    <x v="206"/>
    <n v="299.95"/>
    <n v="2"/>
    <n v="11"/>
    <s v="Active"/>
    <x v="11"/>
    <x v="1"/>
    <n v="65.436268477755888"/>
    <n v="479.91999999999996"/>
    <x v="1"/>
    <n v="29"/>
  </r>
  <r>
    <x v="227"/>
    <d v="2025-03-07T00:00:00"/>
    <x v="0"/>
    <s v="Paul Baker"/>
    <s v="P010"/>
    <x v="8"/>
    <x v="0"/>
    <n v="2"/>
    <n v="89.99"/>
    <x v="1"/>
    <x v="3"/>
    <x v="1"/>
    <x v="4"/>
    <n v="179.98"/>
    <n v="2"/>
    <n v="11"/>
    <s v="Active"/>
    <x v="11"/>
    <x v="1"/>
    <n v="39.263942659198214"/>
    <n v="8309.739999999998"/>
    <x v="0"/>
    <n v="34"/>
  </r>
  <r>
    <x v="228"/>
    <d v="2025-03-07T00:00:00"/>
    <x v="22"/>
    <s v="Helen Roberts"/>
    <s v="P009"/>
    <x v="0"/>
    <x v="0"/>
    <n v="5"/>
    <n v="249.99"/>
    <x v="0"/>
    <x v="4"/>
    <x v="2"/>
    <x v="207"/>
    <n v="1249.95"/>
    <n v="4"/>
    <n v="11"/>
    <s v="Active"/>
    <x v="11"/>
    <x v="0"/>
    <n v="272.685660222607"/>
    <n v="6459.79"/>
    <x v="0"/>
    <n v="26"/>
  </r>
  <r>
    <x v="229"/>
    <d v="2025-03-08T00:00:00"/>
    <x v="40"/>
    <s v="Lawrence Reed"/>
    <s v="P008"/>
    <x v="2"/>
    <x v="2"/>
    <n v="2"/>
    <n v="149.99"/>
    <x v="2"/>
    <x v="0"/>
    <x v="1"/>
    <x v="208"/>
    <n v="299.98"/>
    <n v="3"/>
    <n v="11"/>
    <s v="Active"/>
    <x v="11"/>
    <x v="1"/>
    <n v="65.442813195389931"/>
    <n v="6989.7699999999986"/>
    <x v="0"/>
    <n v="35"/>
  </r>
  <r>
    <x v="230"/>
    <d v="2025-03-08T00:00:00"/>
    <x v="28"/>
    <s v="Harry Morgan"/>
    <s v="P001"/>
    <x v="4"/>
    <x v="0"/>
    <n v="5"/>
    <n v="899.99"/>
    <x v="2"/>
    <x v="4"/>
    <x v="1"/>
    <x v="64"/>
    <n v="4499.95"/>
    <n v="1"/>
    <n v="11"/>
    <s v="Active"/>
    <x v="11"/>
    <x v="0"/>
    <n v="981.69673724446602"/>
    <n v="5519.8899999999994"/>
    <x v="0"/>
    <n v="24"/>
  </r>
  <r>
    <x v="231"/>
    <d v="2025-03-08T00:00:00"/>
    <x v="6"/>
    <s v="Charles Allen"/>
    <s v="P008"/>
    <x v="2"/>
    <x v="2"/>
    <n v="4"/>
    <n v="149.99"/>
    <x v="0"/>
    <x v="0"/>
    <x v="2"/>
    <x v="209"/>
    <n v="599.96"/>
    <n v="2"/>
    <n v="11"/>
    <s v="Active"/>
    <x v="11"/>
    <x v="2"/>
    <n v="130.88562639077986"/>
    <n v="5089.7300000000005"/>
    <x v="0"/>
    <n v="35"/>
  </r>
  <r>
    <x v="232"/>
    <d v="2025-03-10T00:00:00"/>
    <x v="28"/>
    <s v="Harry Morgan"/>
    <s v="P009"/>
    <x v="0"/>
    <x v="0"/>
    <n v="1"/>
    <n v="249.99"/>
    <x v="0"/>
    <x v="2"/>
    <x v="2"/>
    <x v="210"/>
    <n v="249.99"/>
    <n v="2"/>
    <n v="11"/>
    <s v="Active"/>
    <x v="11"/>
    <x v="1"/>
    <n v="54.537132044521407"/>
    <n v="5519.8899999999994"/>
    <x v="0"/>
    <n v="26"/>
  </r>
  <r>
    <x v="233"/>
    <d v="2025-03-18T00:00:00"/>
    <x v="37"/>
    <s v="Frank Torres"/>
    <s v="P005"/>
    <x v="1"/>
    <x v="1"/>
    <n v="2"/>
    <n v="59.99"/>
    <x v="1"/>
    <x v="3"/>
    <x v="0"/>
    <x v="211"/>
    <n v="119.98"/>
    <n v="2"/>
    <n v="11"/>
    <s v="Active"/>
    <x v="11"/>
    <x v="1"/>
    <n v="26.174507391102356"/>
    <n v="1479.91"/>
    <x v="1"/>
    <n v="29"/>
  </r>
  <r>
    <x v="234"/>
    <d v="2025-03-21T00:00:00"/>
    <x v="25"/>
    <s v="Emma Wilson"/>
    <s v="P008"/>
    <x v="2"/>
    <x v="2"/>
    <n v="2"/>
    <n v="149.99"/>
    <x v="0"/>
    <x v="3"/>
    <x v="1"/>
    <x v="212"/>
    <n v="299.98"/>
    <n v="2"/>
    <n v="11"/>
    <s v="Active"/>
    <x v="11"/>
    <x v="1"/>
    <n v="65.442813195389931"/>
    <n v="1229.8800000000001"/>
    <x v="1"/>
    <n v="35"/>
  </r>
  <r>
    <x v="235"/>
    <d v="2025-03-21T00:00:00"/>
    <x v="30"/>
    <s v="Sharon Butler"/>
    <s v="P001"/>
    <x v="4"/>
    <x v="0"/>
    <n v="3"/>
    <n v="899.99"/>
    <x v="3"/>
    <x v="2"/>
    <x v="1"/>
    <x v="213"/>
    <n v="2699.97"/>
    <n v="3"/>
    <n v="11"/>
    <s v="Active"/>
    <x v="11"/>
    <x v="0"/>
    <n v="589.01804234667964"/>
    <n v="5619.869999999999"/>
    <x v="0"/>
    <n v="24"/>
  </r>
  <r>
    <x v="236"/>
    <d v="2025-03-21T00:00:00"/>
    <x v="5"/>
    <s v="Dorothy Nelson"/>
    <s v="P001"/>
    <x v="4"/>
    <x v="0"/>
    <n v="3"/>
    <n v="899.99"/>
    <x v="2"/>
    <x v="2"/>
    <x v="0"/>
    <x v="214"/>
    <n v="2699.97"/>
    <n v="3"/>
    <n v="11"/>
    <s v="Active"/>
    <x v="11"/>
    <x v="0"/>
    <n v="589.01804234667964"/>
    <n v="8269.7900000000009"/>
    <x v="0"/>
    <n v="24"/>
  </r>
  <r>
    <x v="237"/>
    <d v="2025-03-23T00:00:00"/>
    <x v="0"/>
    <s v="Paul Baker"/>
    <s v="P007"/>
    <x v="6"/>
    <x v="2"/>
    <n v="3"/>
    <n v="299.99"/>
    <x v="1"/>
    <x v="3"/>
    <x v="1"/>
    <x v="215"/>
    <n v="899.97"/>
    <n v="2"/>
    <n v="11"/>
    <s v="Active"/>
    <x v="11"/>
    <x v="0"/>
    <n v="196.33498430380385"/>
    <n v="8309.739999999998"/>
    <x v="0"/>
    <n v="26"/>
  </r>
  <r>
    <x v="238"/>
    <d v="2025-03-24T00:00:00"/>
    <x v="49"/>
    <s v="John Smith"/>
    <s v="P008"/>
    <x v="2"/>
    <x v="2"/>
    <n v="4"/>
    <n v="149.99"/>
    <x v="2"/>
    <x v="3"/>
    <x v="2"/>
    <x v="144"/>
    <n v="599.96"/>
    <n v="4"/>
    <n v="11"/>
    <s v="Active"/>
    <x v="11"/>
    <x v="2"/>
    <n v="130.88562639077986"/>
    <n v="599.96"/>
    <x v="1"/>
    <n v="35"/>
  </r>
  <r>
    <x v="239"/>
    <d v="2025-03-27T00:00:00"/>
    <x v="19"/>
    <s v="Cynthia Price"/>
    <s v="P004"/>
    <x v="7"/>
    <x v="1"/>
    <n v="4"/>
    <n v="79.989999999999995"/>
    <x v="1"/>
    <x v="0"/>
    <x v="0"/>
    <x v="216"/>
    <n v="319.95999999999998"/>
    <n v="2"/>
    <n v="11"/>
    <s v="Active"/>
    <x v="11"/>
    <x v="2"/>
    <n v="69.801595139665849"/>
    <n v="3769.8300000000004"/>
    <x v="1"/>
    <n v="14"/>
  </r>
  <r>
    <x v="240"/>
    <d v="2025-03-29T00:00:00"/>
    <x v="36"/>
    <s v="Margaret Wright"/>
    <s v="P010"/>
    <x v="8"/>
    <x v="0"/>
    <n v="5"/>
    <n v="89.99"/>
    <x v="2"/>
    <x v="1"/>
    <x v="0"/>
    <x v="217"/>
    <n v="449.95"/>
    <n v="3"/>
    <n v="10"/>
    <s v="Active"/>
    <x v="11"/>
    <x v="2"/>
    <n v="98.159856647995539"/>
    <n v="2099.88"/>
    <x v="1"/>
    <n v="34"/>
  </r>
  <r>
    <x v="241"/>
    <d v="2025-03-30T00:00:00"/>
    <x v="16"/>
    <s v="Virginia Sanders"/>
    <s v="P008"/>
    <x v="2"/>
    <x v="2"/>
    <n v="3"/>
    <n v="149.99"/>
    <x v="2"/>
    <x v="0"/>
    <x v="2"/>
    <x v="218"/>
    <n v="449.97"/>
    <n v="2"/>
    <n v="10"/>
    <s v="Active"/>
    <x v="11"/>
    <x v="2"/>
    <n v="98.164219793084911"/>
    <n v="4789.7900000000009"/>
    <x v="1"/>
    <n v="35"/>
  </r>
  <r>
    <x v="242"/>
    <d v="2025-03-30T00:00:00"/>
    <x v="8"/>
    <s v="Karen Hill"/>
    <s v="P010"/>
    <x v="8"/>
    <x v="0"/>
    <n v="2"/>
    <n v="89.99"/>
    <x v="3"/>
    <x v="3"/>
    <x v="1"/>
    <x v="164"/>
    <n v="179.98"/>
    <n v="4"/>
    <n v="10"/>
    <s v="Active"/>
    <x v="11"/>
    <x v="1"/>
    <n v="39.263942659198214"/>
    <n v="8009.7699999999995"/>
    <x v="0"/>
    <n v="34"/>
  </r>
  <r>
    <x v="243"/>
    <d v="2025-04-01T00:00:00"/>
    <x v="19"/>
    <s v="Cynthia Price"/>
    <s v="P002"/>
    <x v="5"/>
    <x v="0"/>
    <n v="2"/>
    <n v="699.99"/>
    <x v="2"/>
    <x v="2"/>
    <x v="2"/>
    <x v="111"/>
    <n v="1399.98"/>
    <n v="4"/>
    <n v="10"/>
    <s v="Active"/>
    <x v="12"/>
    <x v="0"/>
    <n v="305.41579311048065"/>
    <n v="3769.8300000000004"/>
    <x v="1"/>
    <n v="31"/>
  </r>
  <r>
    <x v="244"/>
    <d v="2025-04-02T00:00:00"/>
    <x v="23"/>
    <s v="Edward Mitchell"/>
    <s v="P001"/>
    <x v="4"/>
    <x v="0"/>
    <n v="3"/>
    <n v="899.99"/>
    <x v="0"/>
    <x v="0"/>
    <x v="2"/>
    <x v="115"/>
    <n v="2699.97"/>
    <n v="3"/>
    <n v="10"/>
    <s v="Active"/>
    <x v="12"/>
    <x v="0"/>
    <n v="589.01804234667964"/>
    <n v="11919.769999999999"/>
    <x v="0"/>
    <n v="24"/>
  </r>
  <r>
    <x v="245"/>
    <d v="2025-04-08T00:00:00"/>
    <x v="16"/>
    <s v="Virginia Sanders"/>
    <s v="P004"/>
    <x v="7"/>
    <x v="1"/>
    <n v="3"/>
    <n v="79.989999999999995"/>
    <x v="1"/>
    <x v="2"/>
    <x v="0"/>
    <x v="219"/>
    <n v="239.97"/>
    <n v="4"/>
    <n v="10"/>
    <s v="Active"/>
    <x v="12"/>
    <x v="1"/>
    <n v="52.351196354749391"/>
    <n v="4789.7900000000009"/>
    <x v="1"/>
    <n v="14"/>
  </r>
  <r>
    <x v="246"/>
    <d v="2025-04-09T00:00:00"/>
    <x v="7"/>
    <s v="Robert Thomas"/>
    <s v="P010"/>
    <x v="8"/>
    <x v="0"/>
    <n v="1"/>
    <n v="89.99"/>
    <x v="3"/>
    <x v="4"/>
    <x v="0"/>
    <x v="220"/>
    <n v="89.99"/>
    <n v="2"/>
    <n v="10"/>
    <s v="Active"/>
    <x v="12"/>
    <x v="1"/>
    <n v="19.631971329599107"/>
    <n v="3509.8999999999996"/>
    <x v="1"/>
    <n v="34"/>
  </r>
  <r>
    <x v="247"/>
    <d v="2025-04-11T00:00:00"/>
    <x v="46"/>
    <s v="Douglas Watson"/>
    <s v="P002"/>
    <x v="5"/>
    <x v="0"/>
    <n v="3"/>
    <n v="699.99"/>
    <x v="2"/>
    <x v="2"/>
    <x v="0"/>
    <x v="67"/>
    <n v="2099.9699999999998"/>
    <n v="3"/>
    <n v="10"/>
    <s v="Active"/>
    <x v="12"/>
    <x v="0"/>
    <n v="458.12368966572097"/>
    <n v="4829.8899999999994"/>
    <x v="1"/>
    <n v="31"/>
  </r>
  <r>
    <x v="248"/>
    <d v="2025-04-11T00:00:00"/>
    <x v="40"/>
    <s v="Lawrence Reed"/>
    <s v="P010"/>
    <x v="8"/>
    <x v="0"/>
    <n v="2"/>
    <n v="89.99"/>
    <x v="3"/>
    <x v="4"/>
    <x v="0"/>
    <x v="221"/>
    <n v="179.98"/>
    <n v="2"/>
    <n v="10"/>
    <s v="Active"/>
    <x v="12"/>
    <x v="1"/>
    <n v="39.263942659198214"/>
    <n v="6989.7699999999986"/>
    <x v="0"/>
    <n v="34"/>
  </r>
  <r>
    <x v="249"/>
    <d v="2025-04-11T00:00:00"/>
    <x v="26"/>
    <s v="Steven Turner"/>
    <s v="P010"/>
    <x v="8"/>
    <x v="0"/>
    <n v="3"/>
    <n v="89.99"/>
    <x v="3"/>
    <x v="2"/>
    <x v="1"/>
    <x v="222"/>
    <n v="269.97000000000003"/>
    <n v="3"/>
    <n v="10"/>
    <s v="Active"/>
    <x v="12"/>
    <x v="1"/>
    <n v="58.895913988797318"/>
    <n v="2649.83"/>
    <x v="1"/>
    <n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EFFCBC-8ACC-41E8-9355-B8415879CBB3}"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3:C16" firstHeaderRow="0" firstDataRow="1" firstDataCol="1"/>
  <pivotFields count="27">
    <pivotField showAll="0"/>
    <pivotField numFmtId="164" showAll="0"/>
    <pivotField showAll="0"/>
    <pivotField showAll="0"/>
    <pivotField showAll="0"/>
    <pivotField showAll="0"/>
    <pivotField showAll="0">
      <items count="4">
        <item h="1" x="1"/>
        <item x="0"/>
        <item h="1" x="2"/>
        <item t="default"/>
      </items>
    </pivotField>
    <pivotField numFmtId="166" showAll="0"/>
    <pivotField showAll="0"/>
    <pivotField showAll="0"/>
    <pivotField showAll="0">
      <items count="6">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9" baseField="0" baseItem="0"/>
    <dataField name="Sum of Total_Amount" fld="13"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9"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7" type="dateBetween" evalOrder="-1" id="151" name="Transaction_Month_End">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565EB6-03BD-4E49-BE4B-3C82278025C2}"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I54:K61" firstHeaderRow="1" firstDataRow="2" firstDataCol="1"/>
  <pivotFields count="27">
    <pivotField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64" showAll="0"/>
    <pivotField showAll="0"/>
    <pivotField showAll="0"/>
    <pivotField showAll="0"/>
    <pivotField showAll="0">
      <items count="11">
        <item x="1"/>
        <item x="2"/>
        <item x="7"/>
        <item x="6"/>
        <item x="3"/>
        <item x="8"/>
        <item x="4"/>
        <item x="0"/>
        <item x="9"/>
        <item x="5"/>
        <item t="default"/>
      </items>
    </pivotField>
    <pivotField axis="axisCol" showAll="0">
      <items count="4">
        <item h="1" x="1"/>
        <item x="0"/>
        <item h="1" x="2"/>
        <item t="default"/>
      </items>
    </pivotField>
    <pivotField numFmtId="166" showAll="0"/>
    <pivotField showAll="0"/>
    <pivotField showAll="0">
      <items count="5">
        <item x="0"/>
        <item x="1"/>
        <item x="3"/>
        <item x="2"/>
        <item t="default"/>
      </items>
    </pivotField>
    <pivotField axis="axisRow" showAll="0">
      <items count="6">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items count="4">
        <item x="0"/>
        <item x="1"/>
        <item x="2"/>
        <item t="default"/>
      </items>
    </pivotField>
    <pivotField dataField="1" showAll="0"/>
    <pivotField showAll="0"/>
    <pivotField showAll="0">
      <items count="3">
        <item x="1"/>
        <item x="0"/>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i>
    <i>
      <x v="1"/>
    </i>
    <i>
      <x v="2"/>
    </i>
    <i>
      <x v="3"/>
    </i>
    <i>
      <x v="4"/>
    </i>
    <i t="grand">
      <x/>
    </i>
  </rowItems>
  <colFields count="1">
    <field x="6"/>
  </colFields>
  <colItems count="2">
    <i>
      <x v="1"/>
    </i>
    <i t="grand">
      <x/>
    </i>
  </colItems>
  <dataFields count="1">
    <dataField name="Sum of Profit" fld="19" baseField="0" baseItem="0"/>
  </dataFields>
  <chartFormats count="15">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series="1">
      <pivotArea type="data" outline="0" fieldPosition="0">
        <references count="2">
          <reference field="4294967294" count="1" selected="0">
            <x v="0"/>
          </reference>
          <reference field="6" count="1" selected="0">
            <x v="2"/>
          </reference>
        </references>
      </pivotArea>
    </chartFormat>
    <chartFormat chart="11" format="12" series="1">
      <pivotArea type="data" outline="0" fieldPosition="0">
        <references count="2">
          <reference field="4294967294" count="1" selected="0">
            <x v="0"/>
          </reference>
          <reference field="6" count="1" selected="0">
            <x v="0"/>
          </reference>
        </references>
      </pivotArea>
    </chartFormat>
    <chartFormat chart="11" format="13" series="1">
      <pivotArea type="data" outline="0" fieldPosition="0">
        <references count="2">
          <reference field="4294967294" count="1" selected="0">
            <x v="0"/>
          </reference>
          <reference field="6" count="1" selected="0">
            <x v="1"/>
          </reference>
        </references>
      </pivotArea>
    </chartFormat>
    <chartFormat chart="11" format="14" series="1">
      <pivotArea type="data" outline="0" fieldPosition="0">
        <references count="2">
          <reference field="4294967294" count="1" selected="0">
            <x v="0"/>
          </reference>
          <reference field="6" count="1" selected="0">
            <x v="2"/>
          </reference>
        </references>
      </pivotArea>
    </chartFormat>
    <chartFormat chart="11" format="15"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4" format="18" series="1">
      <pivotArea type="data" outline="0" fieldPosition="0">
        <references count="2">
          <reference field="4294967294" count="1" selected="0">
            <x v="0"/>
          </reference>
          <reference field="6" count="1" selected="0">
            <x v="1"/>
          </reference>
        </references>
      </pivotArea>
    </chartFormat>
    <chartFormat chart="14" format="19" series="1">
      <pivotArea type="data" outline="0" fieldPosition="0">
        <references count="2">
          <reference field="4294967294" count="1" selected="0">
            <x v="0"/>
          </reference>
          <reference field="6" count="1" selected="0">
            <x v="2"/>
          </reference>
        </references>
      </pivotArea>
    </chartFormat>
    <chartFormat chart="14" format="20" series="1">
      <pivotArea type="data" outline="0" fieldPosition="0">
        <references count="1">
          <reference field="4294967294" count="1" selected="0">
            <x v="0"/>
          </reference>
        </references>
      </pivotArea>
    </chartFormat>
    <chartFormat chart="14" format="21"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17" type="dateBetween" evalOrder="-1" id="129" name="Transaction_Month_End">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0D300F-038C-4E77-AAF6-530D753796B5}"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A54:C60" firstHeaderRow="0" firstDataRow="1" firstDataCol="1"/>
  <pivotFields count="27">
    <pivotField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64" showAll="0"/>
    <pivotField showAll="0"/>
    <pivotField showAll="0"/>
    <pivotField showAll="0"/>
    <pivotField axis="axisRow" showAll="0">
      <items count="11">
        <item x="1"/>
        <item x="2"/>
        <item x="7"/>
        <item x="6"/>
        <item x="3"/>
        <item x="8"/>
        <item x="4"/>
        <item x="0"/>
        <item x="9"/>
        <item x="5"/>
        <item t="default"/>
      </items>
    </pivotField>
    <pivotField showAll="0">
      <items count="4">
        <item h="1" x="1"/>
        <item x="0"/>
        <item h="1" x="2"/>
        <item t="default"/>
      </items>
    </pivotField>
    <pivotField numFmtId="166" showAll="0"/>
    <pivotField showAll="0"/>
    <pivotField showAll="0">
      <items count="5">
        <item x="0"/>
        <item x="1"/>
        <item x="3"/>
        <item x="2"/>
        <item t="default"/>
      </items>
    </pivotField>
    <pivotField showAll="0">
      <items count="6">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items count="4">
        <item x="0"/>
        <item x="1"/>
        <item x="2"/>
        <item t="default"/>
      </items>
    </pivotField>
    <pivotField dataField="1" showAll="0"/>
    <pivotField showAll="0"/>
    <pivotField showAll="0">
      <items count="3">
        <item x="1"/>
        <item x="0"/>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6">
    <i>
      <x v="4"/>
    </i>
    <i>
      <x v="5"/>
    </i>
    <i>
      <x v="6"/>
    </i>
    <i>
      <x v="7"/>
    </i>
    <i>
      <x v="9"/>
    </i>
    <i t="grand">
      <x/>
    </i>
  </rowItems>
  <colFields count="1">
    <field x="-2"/>
  </colFields>
  <colItems count="2">
    <i>
      <x/>
    </i>
    <i i="1">
      <x v="1"/>
    </i>
  </colItems>
  <dataFields count="2">
    <dataField name="Average of Total_Amount" fld="13" subtotal="average" baseField="5" baseItem="0"/>
    <dataField name="Average of Profit" fld="19" subtotal="average" baseField="5"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7" type="dateBetween" evalOrder="-1" id="129" name="Transaction_Month_End">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927AEA-5A16-46FA-A80B-BA72EF181DD0}"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K36:M40" firstHeaderRow="0" firstDataRow="1" firstDataCol="1"/>
  <pivotFields count="27">
    <pivotField showAll="0"/>
    <pivotField numFmtId="164" showAll="0"/>
    <pivotField showAll="0"/>
    <pivotField showAll="0"/>
    <pivotField showAll="0"/>
    <pivotField showAll="0"/>
    <pivotField showAll="0">
      <items count="4">
        <item h="1" x="1"/>
        <item x="0"/>
        <item h="1" x="2"/>
        <item t="default"/>
      </items>
    </pivotField>
    <pivotField numFmtId="166" showAll="0"/>
    <pivotField showAll="0"/>
    <pivotField showAll="0"/>
    <pivotField showAll="0">
      <items count="6">
        <item x="0"/>
        <item x="4"/>
        <item x="2"/>
        <item x="1"/>
        <item x="3"/>
        <item t="default"/>
      </items>
    </pivotField>
    <pivotField axis="axisRow" showAll="0">
      <items count="4">
        <item x="0"/>
        <item x="1"/>
        <item x="2"/>
        <item t="default"/>
      </items>
    </pivotField>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items count="4">
        <item x="0"/>
        <item x="1"/>
        <item x="2"/>
        <item t="default"/>
      </items>
    </pivotField>
    <pivotField dataField="1" showAll="0"/>
    <pivotField showAll="0"/>
    <pivotField showAll="0">
      <items count="3">
        <item x="1"/>
        <item x="0"/>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Fields count="1">
    <field x="-2"/>
  </colFields>
  <colItems count="2">
    <i>
      <x/>
    </i>
    <i i="1">
      <x v="1"/>
    </i>
  </colItems>
  <dataFields count="2">
    <dataField name="Average of Total_Amount" fld="13" subtotal="average" baseField="11" baseItem="0"/>
    <dataField name="Average of Profit" fld="19" subtotal="average" baseField="11"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7" type="dateBetween" evalOrder="-1" id="129" name="Transaction_Month_End">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03A51D-1CB7-4360-B116-6CA8EB0CB87A}"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A70:C72" firstHeaderRow="0" firstDataRow="1" firstDataCol="1"/>
  <pivotFields count="27">
    <pivotField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64" showAll="0"/>
    <pivotField showAll="0"/>
    <pivotField showAll="0"/>
    <pivotField showAll="0"/>
    <pivotField showAll="0">
      <items count="11">
        <item x="1"/>
        <item x="2"/>
        <item x="7"/>
        <item x="6"/>
        <item x="3"/>
        <item x="8"/>
        <item x="4"/>
        <item x="0"/>
        <item x="9"/>
        <item x="5"/>
        <item t="default"/>
      </items>
    </pivotField>
    <pivotField axis="axisRow" showAll="0">
      <items count="4">
        <item h="1" x="1"/>
        <item x="0"/>
        <item h="1" x="2"/>
        <item t="default"/>
      </items>
    </pivotField>
    <pivotField numFmtId="166" showAll="0"/>
    <pivotField showAll="0"/>
    <pivotField showAll="0">
      <items count="5">
        <item x="0"/>
        <item x="1"/>
        <item x="3"/>
        <item x="2"/>
        <item t="default"/>
      </items>
    </pivotField>
    <pivotField showAll="0">
      <items count="6">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items count="4">
        <item x="0"/>
        <item x="1"/>
        <item x="2"/>
        <item t="default"/>
      </items>
    </pivotField>
    <pivotField dataField="1" showAll="0"/>
    <pivotField showAll="0"/>
    <pivotField showAll="0">
      <items count="3">
        <item x="1"/>
        <item x="0"/>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2">
    <i>
      <x v="1"/>
    </i>
    <i t="grand">
      <x/>
    </i>
  </rowItems>
  <colFields count="1">
    <field x="-2"/>
  </colFields>
  <colItems count="2">
    <i>
      <x/>
    </i>
    <i i="1">
      <x v="1"/>
    </i>
  </colItems>
  <dataFields count="2">
    <dataField name="Sum of Profit" fld="19" baseField="6" baseItem="0"/>
    <dataField name="Average of Total_Amount" fld="13" subtotal="average" baseField="6" baseItem="0"/>
  </dataFields>
  <formats count="1">
    <format dxfId="63">
      <pivotArea grandRow="1"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dateBetween" evalOrder="-1" id="129" name="Transaction_Month_End">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41C979-83D4-44B9-A5CB-C232DC85F85D}"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K19:L24" firstHeaderRow="1" firstDataRow="1" firstDataCol="1"/>
  <pivotFields count="27">
    <pivotField showAll="0"/>
    <pivotField numFmtId="164" showAll="0"/>
    <pivotField showAll="0"/>
    <pivotField showAll="0"/>
    <pivotField showAll="0"/>
    <pivotField showAll="0"/>
    <pivotField showAll="0">
      <items count="4">
        <item h="1" x="1"/>
        <item x="0"/>
        <item h="1" x="2"/>
        <item t="default"/>
      </items>
    </pivotField>
    <pivotField numFmtId="166" showAll="0"/>
    <pivotField showAll="0"/>
    <pivotField axis="axisRow" showAll="0">
      <items count="5">
        <item x="0"/>
        <item x="1"/>
        <item x="3"/>
        <item x="2"/>
        <item t="default"/>
      </items>
    </pivotField>
    <pivotField showAll="0">
      <items count="6">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5">
    <i>
      <x/>
    </i>
    <i>
      <x v="1"/>
    </i>
    <i>
      <x v="2"/>
    </i>
    <i>
      <x v="3"/>
    </i>
    <i t="grand">
      <x/>
    </i>
  </rowItems>
  <colItems count="1">
    <i/>
  </colItems>
  <dataFields count="1">
    <dataField name="Sum of Total_Amount" fld="13" baseField="0" baseItem="0"/>
  </dataFields>
  <chartFormats count="1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9" count="1" selected="0">
            <x v="0"/>
          </reference>
        </references>
      </pivotArea>
    </chartFormat>
    <chartFormat chart="8" format="22">
      <pivotArea type="data" outline="0" fieldPosition="0">
        <references count="2">
          <reference field="4294967294" count="1" selected="0">
            <x v="0"/>
          </reference>
          <reference field="9" count="1" selected="0">
            <x v="1"/>
          </reference>
        </references>
      </pivotArea>
    </chartFormat>
    <chartFormat chart="8" format="23">
      <pivotArea type="data" outline="0" fieldPosition="0">
        <references count="2">
          <reference field="4294967294" count="1" selected="0">
            <x v="0"/>
          </reference>
          <reference field="9" count="1" selected="0">
            <x v="2"/>
          </reference>
        </references>
      </pivotArea>
    </chartFormat>
    <chartFormat chart="8" format="24">
      <pivotArea type="data" outline="0" fieldPosition="0">
        <references count="2">
          <reference field="4294967294" count="1" selected="0">
            <x v="0"/>
          </reference>
          <reference field="9" count="1" selected="0">
            <x v="3"/>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9" count="1" selected="0">
            <x v="0"/>
          </reference>
        </references>
      </pivotArea>
    </chartFormat>
    <chartFormat chart="11" format="32">
      <pivotArea type="data" outline="0" fieldPosition="0">
        <references count="2">
          <reference field="4294967294" count="1" selected="0">
            <x v="0"/>
          </reference>
          <reference field="9" count="1" selected="0">
            <x v="1"/>
          </reference>
        </references>
      </pivotArea>
    </chartFormat>
    <chartFormat chart="11" format="33">
      <pivotArea type="data" outline="0" fieldPosition="0">
        <references count="2">
          <reference field="4294967294" count="1" selected="0">
            <x v="0"/>
          </reference>
          <reference field="9" count="1" selected="0">
            <x v="2"/>
          </reference>
        </references>
      </pivotArea>
    </chartFormat>
    <chartFormat chart="11" format="3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1">
    <filter fld="17" type="dateBetween" evalOrder="-1" id="129" name="Transaction_Month_End">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24B6D5-BEE6-479D-9381-5709032348C2}"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19:B21" firstHeaderRow="1" firstDataRow="1" firstDataCol="1"/>
  <pivotFields count="27">
    <pivotField showAll="0"/>
    <pivotField numFmtId="164" showAll="0"/>
    <pivotField showAll="0"/>
    <pivotField showAll="0"/>
    <pivotField showAll="0"/>
    <pivotField showAll="0"/>
    <pivotField axis="axisRow" showAll="0">
      <items count="4">
        <item h="1" x="1"/>
        <item x="0"/>
        <item h="1" x="2"/>
        <item t="default"/>
      </items>
    </pivotField>
    <pivotField numFmtId="166" showAll="0"/>
    <pivotField showAll="0"/>
    <pivotField showAll="0"/>
    <pivotField showAll="0">
      <items count="6">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2">
    <i>
      <x v="1"/>
    </i>
    <i t="grand">
      <x/>
    </i>
  </rowItems>
  <colItems count="1">
    <i/>
  </colItems>
  <dataFields count="1">
    <dataField name="Sum of Total_Amount" fld="13"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2"/>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0"/>
          </reference>
        </references>
      </pivotArea>
    </chartFormat>
    <chartFormat chart="7" format="18">
      <pivotArea type="data" outline="0" fieldPosition="0">
        <references count="2">
          <reference field="4294967294" count="1" selected="0">
            <x v="0"/>
          </reference>
          <reference field="6" count="1" selected="0">
            <x v="1"/>
          </reference>
        </references>
      </pivotArea>
    </chartFormat>
    <chartFormat chart="7" format="19">
      <pivotArea type="data" outline="0" fieldPosition="0">
        <references count="2">
          <reference field="4294967294" count="1" selected="0">
            <x v="0"/>
          </reference>
          <reference field="6" count="1" selected="0">
            <x v="2"/>
          </reference>
        </references>
      </pivotArea>
    </chartFormat>
    <chartFormat chart="10" format="23" series="1">
      <pivotArea type="data" outline="0" fieldPosition="0">
        <references count="1">
          <reference field="4294967294" count="1" selected="0">
            <x v="0"/>
          </reference>
        </references>
      </pivotArea>
    </chartFormat>
    <chartFormat chart="10" format="24">
      <pivotArea type="data" outline="0" fieldPosition="0">
        <references count="2">
          <reference field="4294967294" count="1" selected="0">
            <x v="0"/>
          </reference>
          <reference field="6" count="1" selected="0">
            <x v="1"/>
          </reference>
        </references>
      </pivotArea>
    </chartFormat>
    <chartFormat chart="10" format="25">
      <pivotArea type="data" outline="0" fieldPosition="0">
        <references count="2">
          <reference field="4294967294" count="1" selected="0">
            <x v="0"/>
          </reference>
          <reference field="6" count="1" selected="0">
            <x v="2"/>
          </reference>
        </references>
      </pivotArea>
    </chartFormat>
    <chartFormat chart="10" format="2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17" type="dateBetween" evalOrder="-1" id="129" name="Transaction_Month_End">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2FD856-36FF-492D-853C-E9AFB28C278B}"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A35:C41" firstHeaderRow="0" firstDataRow="1" firstDataCol="1"/>
  <pivotFields count="27">
    <pivotField showAll="0"/>
    <pivotField numFmtId="164" showAll="0"/>
    <pivotField showAll="0"/>
    <pivotField showAll="0"/>
    <pivotField showAll="0"/>
    <pivotField showAll="0"/>
    <pivotField showAll="0">
      <items count="4">
        <item h="1" x="1"/>
        <item x="0"/>
        <item h="1" x="2"/>
        <item t="default"/>
      </items>
    </pivotField>
    <pivotField numFmtId="166" showAll="0"/>
    <pivotField showAll="0"/>
    <pivotField showAll="0"/>
    <pivotField axis="axisRow" showAll="0">
      <items count="6">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dataField="1" numFmtId="166"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items count="4">
        <item x="0"/>
        <item x="1"/>
        <item x="2"/>
        <item t="default"/>
      </items>
    </pivotField>
    <pivotField dataField="1"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i>
    <i>
      <x v="1"/>
    </i>
    <i>
      <x v="2"/>
    </i>
    <i>
      <x v="3"/>
    </i>
    <i>
      <x v="4"/>
    </i>
    <i t="grand">
      <x/>
    </i>
  </rowItems>
  <colFields count="1">
    <field x="-2"/>
  </colFields>
  <colItems count="2">
    <i>
      <x/>
    </i>
    <i i="1">
      <x v="1"/>
    </i>
  </colItems>
  <dataFields count="2">
    <dataField name="Sum of Profit" fld="19" baseField="0" baseItem="0"/>
    <dataField name="Sum of Total_Amount" fld="13" baseField="0" baseItem="0"/>
  </dataFields>
  <chartFormats count="6">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8" format="20" series="1">
      <pivotArea type="data" outline="0" fieldPosition="0">
        <references count="1">
          <reference field="4294967294" count="1" selected="0">
            <x v="0"/>
          </reference>
        </references>
      </pivotArea>
    </chartFormat>
    <chartFormat chart="8" format="21" series="1">
      <pivotArea type="data" outline="0" fieldPosition="0">
        <references count="1">
          <reference field="4294967294" count="1" selected="0">
            <x v="1"/>
          </reference>
        </references>
      </pivotArea>
    </chartFormat>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7" type="dateBetween" evalOrder="-1" id="129" name="Transaction_Month_End">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8C517B-4581-4CAE-9634-537EC92DB584}" sourceName="Region">
  <pivotTables>
    <pivotTable tabId="8" name="PivotTable2"/>
    <pivotTable tabId="8" name="PivotTable10"/>
    <pivotTable tabId="8" name="PivotTable11"/>
    <pivotTable tabId="8" name="PivotTable3"/>
    <pivotTable tabId="8" name="PivotTable5"/>
    <pivotTable tabId="8" name="PivotTable7"/>
    <pivotTable tabId="8" name="PivotTable8"/>
    <pivotTable tabId="8" name="PivotTable1"/>
  </pivotTables>
  <data>
    <tabular pivotCacheId="1717027113">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EF5270-9FAC-440A-AEDF-E331C2F01C3D}" sourceName="Category">
  <pivotTables>
    <pivotTable tabId="8" name="PivotTable2"/>
    <pivotTable tabId="8" name="PivotTable10"/>
    <pivotTable tabId="8" name="PivotTable11"/>
    <pivotTable tabId="8" name="PivotTable3"/>
    <pivotTable tabId="8" name="PivotTable5"/>
    <pivotTable tabId="8" name="PivotTable7"/>
    <pivotTable tabId="8" name="PivotTable8"/>
    <pivotTable tabId="8" name="PivotTable1"/>
  </pivotTables>
  <data>
    <tabular pivotCacheId="1717027113">
      <items count="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9654A29-B25C-43F2-8936-1B7128EFC4C6}" sourceName="Customer_Segment">
  <pivotTables>
    <pivotTable tabId="8" name="PivotTable8"/>
  </pivotTables>
  <data>
    <tabular pivotCacheId="171702711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4B6B64-812D-4A01-BE3C-B1EF648F6F58}" cache="Slicer_Region" caption="Region" rowHeight="234950"/>
  <slicer name="Category" xr10:uid="{29E93C86-3A30-47A7-AF2C-D2C1A1936904}" cache="Slicer_Category" caption="Category" rowHeight="234950"/>
  <slicer name="Customer_Segment" xr10:uid="{F846C5BC-7CAA-47AC-9E23-3680D4CE3277}"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7B9519-513B-42A6-A30D-6F32630A631A}" name="Table1" displayName="Table1" ref="A1:W252" totalsRowCount="1" headerRowDxfId="62" dataDxfId="60" headerRowBorderDxfId="61" tableBorderDxfId="59" totalsRowBorderDxfId="58">
  <autoFilter ref="A1:W251" xr:uid="{BC7B9519-513B-42A6-A30D-6F32630A631A}"/>
  <tableColumns count="23">
    <tableColumn id="1" xr3:uid="{6095506D-2373-4950-8CD7-7C13C7F77E77}" name="Transaction_ID" dataDxfId="57" totalsRowDxfId="56"/>
    <tableColumn id="2" xr3:uid="{37198193-3886-4ED7-8CDC-42AA4BDC5088}" name="Date" dataDxfId="55" totalsRowDxfId="54"/>
    <tableColumn id="3" xr3:uid="{EE0370B2-C18D-4676-A2AC-5FD5FBE8DF82}" name="Customer_ID" dataDxfId="53" totalsRowDxfId="52"/>
    <tableColumn id="4" xr3:uid="{60F65F43-A2A0-459C-A8A8-021CEB644DCA}" name="Customer_Name" dataDxfId="51" totalsRowDxfId="50"/>
    <tableColumn id="5" xr3:uid="{FDF96EC8-FBC3-48EC-98EB-78EE81FE0353}" name="Product_ID" dataDxfId="49" totalsRowDxfId="48"/>
    <tableColumn id="6" xr3:uid="{E2ED2890-5F04-4E9E-B802-3EB6066F2D4E}" name="Product_Name" dataDxfId="47" totalsRowDxfId="46"/>
    <tableColumn id="7" xr3:uid="{FC73BF28-08DC-4EA8-90DB-E01FC2E86327}" name="Category" dataDxfId="45" totalsRowDxfId="44"/>
    <tableColumn id="8" xr3:uid="{AD398EDD-CCC6-42A3-9740-DF4F5EBD286B}" name="Quantity" dataDxfId="43" totalsRowDxfId="42"/>
    <tableColumn id="9" xr3:uid="{FC2811E8-3870-4D91-8979-981906EA2408}" name="Unit_Price" dataDxfId="41" totalsRowDxfId="40"/>
    <tableColumn id="10" xr3:uid="{589292C9-75E4-4F07-B3EF-C349C8E07E1F}" name="Payment_Method" dataDxfId="39" totalsRowDxfId="38"/>
    <tableColumn id="11" xr3:uid="{309977B8-BF68-42EC-8051-345E475CDCEF}" name="Region" dataDxfId="37" totalsRowDxfId="36"/>
    <tableColumn id="12" xr3:uid="{3606D9AE-E844-44A3-B0D3-66169AFC336D}" name="Customer_Segment" dataDxfId="35" totalsRowDxfId="34"/>
    <tableColumn id="13" xr3:uid="{E2906931-FC33-4549-9FCF-4073EB72B1F5}" name="Customer_Since" dataDxfId="33" totalsRowDxfId="32"/>
    <tableColumn id="14" xr3:uid="{4395CB5A-B3D8-4E2F-B2D2-FE553BC02A84}" name="Total_Amount" dataDxfId="31" totalsRowDxfId="30"/>
    <tableColumn id="15" xr3:uid="{9C87331E-8792-41DE-9576-D69407772756}" name="Customer Tenure" totalsRowFunction="average" dataDxfId="29" totalsRowDxfId="28">
      <calculatedColumnFormula>DATEDIF(Table1[[#This Row],[Customer_Since]],TODAY(),"Y")</calculatedColumnFormula>
    </tableColumn>
    <tableColumn id="16" xr3:uid="{43F47197-187C-49BA-9800-83B82A6228EC}" name="Months_Since_Purchase" dataDxfId="27" totalsRowDxfId="26">
      <calculatedColumnFormula>DATEDIF(Table1[[#This Row],[Date]],TODAY(),"M")</calculatedColumnFormula>
    </tableColumn>
    <tableColumn id="17" xr3:uid="{3A383151-25B7-40D7-90C7-AC189F1DCF4B}" name="customer status" dataDxfId="25" totalsRowDxfId="24">
      <calculatedColumnFormula>IF(Table1[[#This Row],[Months_Since_Purchase]]&gt;12,"Inactive","Active")</calculatedColumnFormula>
    </tableColumn>
    <tableColumn id="18" xr3:uid="{01B2647D-76CC-4D8F-A47E-46C276E47A4C}" name="Transaction_Month_End" dataDxfId="23" totalsRowDxfId="22">
      <calculatedColumnFormula>EOMONTH(Table1[[#This Row],[Date]],0)</calculatedColumnFormula>
    </tableColumn>
    <tableColumn id="20" xr3:uid="{8FCACA3E-1918-44CC-9667-7172FDBEEEE0}" name="Sales_Status" dataDxfId="21" totalsRowDxfId="20">
      <calculatedColumnFormula>IF(Table1[[#This Row],[Total_Amount]]&gt;=700,"High",
 IF(Table1[[#This Row],[Total_Amount]]&gt;=300,"Medium","Low"))</calculatedColumnFormula>
    </tableColumn>
    <tableColumn id="22" xr3:uid="{B1A8BF0C-78AB-4E64-9A40-A2872379F631}" name="Profit" totalsRowFunction="average" dataDxfId="19" totalsRowDxfId="18">
      <calculatedColumnFormula>Table1[[#This Row],[Total_Amount]]*(1-$AC$8)*0.3</calculatedColumnFormula>
    </tableColumn>
    <tableColumn id="24" xr3:uid="{DAC561DD-874E-494A-86D0-F0714FC23588}" name="Customer_Total_Spend" dataDxfId="17" totalsRowDxfId="16">
      <calculatedColumnFormula>SUMIFS(N:N,C:C,C:C)</calculatedColumnFormula>
    </tableColumn>
    <tableColumn id="25" xr3:uid="{E23012A9-1055-474F-86BA-8D6EA2DA819F}" name="High_Value_Customer" dataDxfId="15" totalsRowDxfId="14">
      <calculatedColumnFormula>IF(Table1[[#This Row],[Customer_Total_Spend]]&gt;5000,"Yes","No")</calculatedColumnFormula>
    </tableColumn>
    <tableColumn id="26" xr3:uid="{05C4EE6A-3A5C-4DC2-BCB4-9A9DE046DB76}" name="Product_Count" dataDxfId="13" totalsRowDxfId="12">
      <calculatedColumnFormula>COUNTIF(F:F,F:F)</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Month_End" xr10:uid="{A7FCF712-F27E-42AD-B8EF-2424B4B65B3B}" sourceName="Transaction_Month_End">
  <pivotTables>
    <pivotTable tabId="8" name="PivotTable2"/>
    <pivotTable tabId="8" name="PivotTable10"/>
    <pivotTable tabId="8" name="PivotTable11"/>
    <pivotTable tabId="8" name="PivotTable3"/>
    <pivotTable tabId="8" name="PivotTable5"/>
    <pivotTable tabId="8" name="PivotTable7"/>
    <pivotTable tabId="8" name="PivotTable8"/>
    <pivotTable tabId="8" name="PivotTable1"/>
  </pivotTables>
  <state minimalRefreshVersion="6" lastRefreshVersion="6" pivotCacheId="1717027113"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Month_End" xr10:uid="{1421E6A3-DEC0-41B3-95A4-DA6A80FC1785}" cache="NativeTimeline_Transaction_Month_End" caption="Transaction_Month_End" level="1"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F994E-3847-486F-9E4C-0D125024B7D3}">
  <sheetPr>
    <outlinePr summaryBelow="0"/>
  </sheetPr>
  <dimension ref="B1:G11"/>
  <sheetViews>
    <sheetView showGridLines="0" workbookViewId="0">
      <selection activeCell="F19" sqref="F19"/>
    </sheetView>
  </sheetViews>
  <sheetFormatPr defaultRowHeight="14.4" outlineLevelRow="1" outlineLevelCol="1" x14ac:dyDescent="0.3"/>
  <cols>
    <col min="3" max="3" width="6" customWidth="1"/>
    <col min="4" max="7" width="13.109375" customWidth="1" outlineLevel="1"/>
  </cols>
  <sheetData>
    <row r="1" spans="2:7" ht="15" thickBot="1" x14ac:dyDescent="0.35"/>
    <row r="2" spans="2:7" ht="15.6" x14ac:dyDescent="0.3">
      <c r="B2" s="23" t="s">
        <v>414</v>
      </c>
      <c r="C2" s="23"/>
      <c r="D2" s="28"/>
      <c r="E2" s="28"/>
      <c r="F2" s="28"/>
      <c r="G2" s="28"/>
    </row>
    <row r="3" spans="2:7" ht="15.6" collapsed="1" x14ac:dyDescent="0.3">
      <c r="B3" s="22"/>
      <c r="C3" s="22"/>
      <c r="D3" s="29" t="s">
        <v>416</v>
      </c>
      <c r="E3" s="29" t="s">
        <v>409</v>
      </c>
      <c r="F3" s="29" t="s">
        <v>411</v>
      </c>
      <c r="G3" s="29" t="s">
        <v>413</v>
      </c>
    </row>
    <row r="4" spans="2:7" ht="61.2" hidden="1" outlineLevel="1" x14ac:dyDescent="0.3">
      <c r="B4" s="25"/>
      <c r="C4" s="25"/>
      <c r="D4" s="19"/>
      <c r="E4" s="31" t="s">
        <v>410</v>
      </c>
      <c r="F4" s="31" t="s">
        <v>412</v>
      </c>
      <c r="G4" s="31" t="s">
        <v>412</v>
      </c>
    </row>
    <row r="5" spans="2:7" x14ac:dyDescent="0.3">
      <c r="B5" s="26" t="s">
        <v>415</v>
      </c>
      <c r="C5" s="26"/>
      <c r="D5" s="24"/>
      <c r="E5" s="24"/>
      <c r="F5" s="24"/>
      <c r="G5" s="24"/>
    </row>
    <row r="6" spans="2:7" outlineLevel="1" x14ac:dyDescent="0.3">
      <c r="B6" s="25"/>
      <c r="C6" s="25" t="s">
        <v>408</v>
      </c>
      <c r="D6" s="20">
        <v>0.1</v>
      </c>
      <c r="E6" s="30">
        <v>0</v>
      </c>
      <c r="F6" s="30">
        <v>0.1</v>
      </c>
      <c r="G6" s="30">
        <v>0.2</v>
      </c>
    </row>
    <row r="7" spans="2:7" x14ac:dyDescent="0.3">
      <c r="B7" s="26" t="s">
        <v>417</v>
      </c>
      <c r="C7" s="26"/>
      <c r="D7" s="24"/>
      <c r="E7" s="24"/>
      <c r="F7" s="24"/>
      <c r="G7" s="24"/>
    </row>
    <row r="8" spans="2:7" ht="15" outlineLevel="1" thickBot="1" x14ac:dyDescent="0.35">
      <c r="B8" s="27"/>
      <c r="C8" s="27" t="s">
        <v>422</v>
      </c>
      <c r="D8" s="21">
        <v>61881.966899999999</v>
      </c>
      <c r="E8" s="21">
        <v>68757.740999999995</v>
      </c>
      <c r="F8" s="21">
        <v>61881.966899999999</v>
      </c>
      <c r="G8" s="21">
        <v>55006.192799999997</v>
      </c>
    </row>
    <row r="9" spans="2:7" x14ac:dyDescent="0.3">
      <c r="B9" t="s">
        <v>418</v>
      </c>
    </row>
    <row r="10" spans="2:7" x14ac:dyDescent="0.3">
      <c r="B10" t="s">
        <v>419</v>
      </c>
    </row>
    <row r="11" spans="2:7" x14ac:dyDescent="0.3">
      <c r="B11" t="s">
        <v>420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CFDF4-A828-47AA-B211-D14A8D3AB1CE}">
  <dimension ref="A1:I18"/>
  <sheetViews>
    <sheetView workbookViewId="0">
      <selection activeCell="D21" sqref="D21"/>
    </sheetView>
  </sheetViews>
  <sheetFormatPr defaultRowHeight="14.4" x14ac:dyDescent="0.3"/>
  <cols>
    <col min="1" max="1" width="17.44140625" customWidth="1"/>
    <col min="2" max="2" width="12.6640625" customWidth="1"/>
    <col min="3" max="3" width="13.44140625" customWidth="1"/>
    <col min="4" max="4" width="12.6640625" customWidth="1"/>
    <col min="5" max="5" width="12" customWidth="1"/>
    <col min="6" max="6" width="12.6640625" customWidth="1"/>
    <col min="7" max="7" width="12" customWidth="1"/>
    <col min="8" max="8" width="12.6640625" customWidth="1"/>
    <col min="9" max="9" width="12.109375" customWidth="1"/>
  </cols>
  <sheetData>
    <row r="1" spans="1:9" x14ac:dyDescent="0.3">
      <c r="A1" t="s">
        <v>423</v>
      </c>
    </row>
    <row r="2" spans="1:9" ht="15" thickBot="1" x14ac:dyDescent="0.35"/>
    <row r="3" spans="1:9" x14ac:dyDescent="0.3">
      <c r="A3" s="42" t="s">
        <v>424</v>
      </c>
      <c r="B3" s="42"/>
    </row>
    <row r="4" spans="1:9" x14ac:dyDescent="0.3">
      <c r="A4" s="19" t="s">
        <v>425</v>
      </c>
      <c r="B4" s="19">
        <v>0.45808036093237842</v>
      </c>
    </row>
    <row r="5" spans="1:9" x14ac:dyDescent="0.3">
      <c r="A5" s="19" t="s">
        <v>426</v>
      </c>
      <c r="B5" s="19">
        <v>0.2098376170719381</v>
      </c>
    </row>
    <row r="6" spans="1:9" x14ac:dyDescent="0.3">
      <c r="A6" s="19" t="s">
        <v>427</v>
      </c>
      <c r="B6" s="19">
        <v>0.20665147843109913</v>
      </c>
    </row>
    <row r="7" spans="1:9" x14ac:dyDescent="0.3">
      <c r="A7" s="19" t="s">
        <v>428</v>
      </c>
      <c r="B7" s="19">
        <v>919.60715349471081</v>
      </c>
    </row>
    <row r="8" spans="1:9" ht="15" thickBot="1" x14ac:dyDescent="0.35">
      <c r="A8" s="21" t="s">
        <v>429</v>
      </c>
      <c r="B8" s="21">
        <v>250</v>
      </c>
    </row>
    <row r="10" spans="1:9" ht="15" thickBot="1" x14ac:dyDescent="0.35">
      <c r="A10" t="s">
        <v>430</v>
      </c>
    </row>
    <row r="11" spans="1:9" x14ac:dyDescent="0.3">
      <c r="A11" s="41"/>
      <c r="B11" s="41" t="s">
        <v>435</v>
      </c>
      <c r="C11" s="41" t="s">
        <v>436</v>
      </c>
      <c r="D11" s="41" t="s">
        <v>437</v>
      </c>
      <c r="E11" s="41" t="s">
        <v>438</v>
      </c>
      <c r="F11" s="41" t="s">
        <v>439</v>
      </c>
    </row>
    <row r="12" spans="1:9" x14ac:dyDescent="0.3">
      <c r="A12" s="19" t="s">
        <v>431</v>
      </c>
      <c r="B12" s="19">
        <v>1</v>
      </c>
      <c r="C12" s="19">
        <v>55695916.896352619</v>
      </c>
      <c r="D12" s="19">
        <v>55695916.896352619</v>
      </c>
      <c r="E12" s="19">
        <v>65.859537429508919</v>
      </c>
      <c r="F12" s="19">
        <v>2.2586478953134677E-14</v>
      </c>
    </row>
    <row r="13" spans="1:9" x14ac:dyDescent="0.3">
      <c r="A13" s="19" t="s">
        <v>432</v>
      </c>
      <c r="B13" s="19">
        <v>248</v>
      </c>
      <c r="C13" s="19">
        <v>209727974.55614385</v>
      </c>
      <c r="D13" s="19">
        <v>845677.31675864453</v>
      </c>
      <c r="E13" s="19"/>
      <c r="F13" s="19"/>
    </row>
    <row r="14" spans="1:9" ht="15" thickBot="1" x14ac:dyDescent="0.35">
      <c r="A14" s="21" t="s">
        <v>433</v>
      </c>
      <c r="B14" s="21">
        <v>249</v>
      </c>
      <c r="C14" s="21">
        <v>265423891.45249647</v>
      </c>
      <c r="D14" s="21"/>
      <c r="E14" s="21"/>
      <c r="F14" s="21"/>
    </row>
    <row r="15" spans="1:9" ht="15" thickBot="1" x14ac:dyDescent="0.35"/>
    <row r="16" spans="1:9" x14ac:dyDescent="0.3">
      <c r="A16" s="41"/>
      <c r="B16" s="41" t="s">
        <v>440</v>
      </c>
      <c r="C16" s="41" t="s">
        <v>428</v>
      </c>
      <c r="D16" s="41" t="s">
        <v>441</v>
      </c>
      <c r="E16" s="41" t="s">
        <v>442</v>
      </c>
      <c r="F16" s="41" t="s">
        <v>443</v>
      </c>
      <c r="G16" s="41" t="s">
        <v>444</v>
      </c>
      <c r="H16" s="41" t="s">
        <v>445</v>
      </c>
      <c r="I16" s="41" t="s">
        <v>446</v>
      </c>
    </row>
    <row r="17" spans="1:9" x14ac:dyDescent="0.3">
      <c r="A17" s="19" t="s">
        <v>434</v>
      </c>
      <c r="B17" s="19">
        <v>-148.85464891541903</v>
      </c>
      <c r="C17" s="19">
        <v>143.61334429876464</v>
      </c>
      <c r="D17" s="19">
        <v>-1.0364959443166415</v>
      </c>
      <c r="E17" s="19">
        <v>0.30098040367911694</v>
      </c>
      <c r="F17" s="19">
        <v>-431.71199538208884</v>
      </c>
      <c r="G17" s="19">
        <v>134.00269755125078</v>
      </c>
      <c r="H17" s="19">
        <v>-431.71199538208884</v>
      </c>
      <c r="I17" s="19">
        <v>134.00269755125078</v>
      </c>
    </row>
    <row r="18" spans="1:9" ht="15" thickBot="1" x14ac:dyDescent="0.35">
      <c r="A18" s="21" t="s">
        <v>447</v>
      </c>
      <c r="B18" s="21">
        <v>353.7930042879882</v>
      </c>
      <c r="C18" s="21">
        <v>43.595323340526868</v>
      </c>
      <c r="D18" s="21">
        <v>8.1153889265708674</v>
      </c>
      <c r="E18" s="21">
        <v>2.2586478953133775E-14</v>
      </c>
      <c r="F18" s="21">
        <v>267.92871682452869</v>
      </c>
      <c r="G18" s="21">
        <v>439.6572917514477</v>
      </c>
      <c r="H18" s="21">
        <v>267.92871682452869</v>
      </c>
      <c r="I18" s="21">
        <v>439.6572917514477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7B38-5503-4D94-9C61-8661E7E9A1E4}">
  <dimension ref="A3:M76"/>
  <sheetViews>
    <sheetView topLeftCell="A54" zoomScaleNormal="100" workbookViewId="0">
      <selection activeCell="D75" sqref="D75"/>
    </sheetView>
  </sheetViews>
  <sheetFormatPr defaultRowHeight="14.4" x14ac:dyDescent="0.3"/>
  <cols>
    <col min="1" max="1" width="13.109375" bestFit="1" customWidth="1"/>
    <col min="2" max="2" width="12.44140625" bestFit="1" customWidth="1"/>
    <col min="3" max="3" width="23.77734375" bestFit="1" customWidth="1"/>
    <col min="4" max="4" width="22.33203125" bestFit="1" customWidth="1"/>
    <col min="5" max="5" width="23.77734375" bestFit="1" customWidth="1"/>
    <col min="6" max="6" width="19.77734375" customWidth="1"/>
    <col min="7" max="7" width="21.6640625" customWidth="1"/>
    <col min="8" max="8" width="24.5546875" customWidth="1"/>
    <col min="9" max="9" width="13.109375" bestFit="1" customWidth="1"/>
    <col min="10" max="10" width="16.21875" bestFit="1" customWidth="1"/>
    <col min="11" max="11" width="13.109375" bestFit="1" customWidth="1"/>
    <col min="12" max="12" width="23.77734375" bestFit="1" customWidth="1"/>
    <col min="13" max="13" width="15.77734375" bestFit="1" customWidth="1"/>
    <col min="14" max="14" width="22.21875" customWidth="1"/>
  </cols>
  <sheetData>
    <row r="3" spans="1:3" x14ac:dyDescent="0.3">
      <c r="A3" s="44" t="s">
        <v>453</v>
      </c>
      <c r="B3" t="s">
        <v>454</v>
      </c>
      <c r="C3" t="s">
        <v>456</v>
      </c>
    </row>
    <row r="4" spans="1:3" x14ac:dyDescent="0.3">
      <c r="A4" s="45" t="s">
        <v>469</v>
      </c>
      <c r="B4" s="47">
        <v>4020.5334843679666</v>
      </c>
      <c r="C4" s="47">
        <v>18429.52</v>
      </c>
    </row>
    <row r="5" spans="1:3" x14ac:dyDescent="0.3">
      <c r="A5" s="45" t="s">
        <v>470</v>
      </c>
      <c r="B5" s="47">
        <v>1795.3971175405557</v>
      </c>
      <c r="C5" s="47">
        <v>8229.83</v>
      </c>
    </row>
    <row r="6" spans="1:3" x14ac:dyDescent="0.3">
      <c r="A6" s="45" t="s">
        <v>471</v>
      </c>
      <c r="B6" s="47">
        <v>3427.1828389475472</v>
      </c>
      <c r="C6" s="47">
        <v>15709.689999999999</v>
      </c>
    </row>
    <row r="7" spans="1:3" x14ac:dyDescent="0.3">
      <c r="A7" s="45" t="s">
        <v>457</v>
      </c>
      <c r="B7" s="47">
        <v>5222.5843196331916</v>
      </c>
      <c r="C7" s="47">
        <v>23939.539999999997</v>
      </c>
    </row>
    <row r="8" spans="1:3" x14ac:dyDescent="0.3">
      <c r="A8" s="45" t="s">
        <v>458</v>
      </c>
      <c r="B8" s="47">
        <v>2218.6003754835419</v>
      </c>
      <c r="C8" s="47">
        <v>10169.729999999998</v>
      </c>
    </row>
    <row r="9" spans="1:3" x14ac:dyDescent="0.3">
      <c r="A9" s="45" t="s">
        <v>459</v>
      </c>
      <c r="B9" s="47">
        <v>3872.1996407648153</v>
      </c>
      <c r="C9" s="47">
        <v>17749.579999999998</v>
      </c>
    </row>
    <row r="10" spans="1:3" x14ac:dyDescent="0.3">
      <c r="A10" s="45" t="s">
        <v>460</v>
      </c>
      <c r="B10" s="47">
        <v>3150.1209442003069</v>
      </c>
      <c r="C10" s="47">
        <v>14439.679999999997</v>
      </c>
    </row>
    <row r="11" spans="1:3" x14ac:dyDescent="0.3">
      <c r="A11" s="45" t="s">
        <v>461</v>
      </c>
      <c r="B11" s="47">
        <v>2371.3017273211476</v>
      </c>
      <c r="C11" s="47">
        <v>10869.689999999999</v>
      </c>
    </row>
    <row r="12" spans="1:3" x14ac:dyDescent="0.3">
      <c r="A12" s="45" t="s">
        <v>462</v>
      </c>
      <c r="B12" s="47">
        <v>2024.4447821518756</v>
      </c>
      <c r="C12" s="47">
        <v>9279.75</v>
      </c>
    </row>
    <row r="13" spans="1:3" x14ac:dyDescent="0.3">
      <c r="A13" s="45" t="s">
        <v>463</v>
      </c>
      <c r="B13" s="47">
        <v>3913.6626085490534</v>
      </c>
      <c r="C13" s="47">
        <v>17939.64</v>
      </c>
    </row>
    <row r="14" spans="1:3" x14ac:dyDescent="0.3">
      <c r="A14" s="45" t="s">
        <v>464</v>
      </c>
      <c r="B14" s="47">
        <v>1738.656597225905</v>
      </c>
      <c r="C14" s="47">
        <v>7969.74</v>
      </c>
    </row>
    <row r="15" spans="1:3" x14ac:dyDescent="0.3">
      <c r="A15" s="45" t="s">
        <v>465</v>
      </c>
      <c r="B15" s="47">
        <v>3715.1438701280222</v>
      </c>
      <c r="C15" s="47">
        <v>17029.66</v>
      </c>
    </row>
    <row r="16" spans="1:3" x14ac:dyDescent="0.3">
      <c r="A16" s="45" t="s">
        <v>455</v>
      </c>
      <c r="B16" s="47">
        <v>37469.828306313932</v>
      </c>
      <c r="C16" s="47">
        <v>171756.04999999996</v>
      </c>
    </row>
    <row r="19" spans="1:12" x14ac:dyDescent="0.3">
      <c r="A19" s="44" t="s">
        <v>453</v>
      </c>
      <c r="B19" t="s">
        <v>456</v>
      </c>
      <c r="K19" s="44" t="s">
        <v>453</v>
      </c>
      <c r="L19" t="s">
        <v>456</v>
      </c>
    </row>
    <row r="20" spans="1:12" x14ac:dyDescent="0.3">
      <c r="A20" s="46" t="s">
        <v>19</v>
      </c>
      <c r="B20" s="47">
        <v>171756.0500000001</v>
      </c>
      <c r="K20" s="46" t="s">
        <v>20</v>
      </c>
      <c r="L20" s="47">
        <v>35889.140000000007</v>
      </c>
    </row>
    <row r="21" spans="1:12" x14ac:dyDescent="0.3">
      <c r="A21" s="46" t="s">
        <v>455</v>
      </c>
      <c r="B21" s="47">
        <v>171756.0500000001</v>
      </c>
      <c r="K21" s="46" t="s">
        <v>26</v>
      </c>
      <c r="L21" s="47">
        <v>45728.799999999996</v>
      </c>
    </row>
    <row r="22" spans="1:12" x14ac:dyDescent="0.3">
      <c r="K22" s="46" t="s">
        <v>57</v>
      </c>
      <c r="L22" s="47">
        <v>40519.15</v>
      </c>
    </row>
    <row r="23" spans="1:12" x14ac:dyDescent="0.3">
      <c r="K23" s="46" t="s">
        <v>34</v>
      </c>
      <c r="L23" s="47">
        <v>49618.960000000006</v>
      </c>
    </row>
    <row r="24" spans="1:12" x14ac:dyDescent="0.3">
      <c r="K24" s="46" t="s">
        <v>455</v>
      </c>
      <c r="L24" s="47">
        <v>171756.05</v>
      </c>
    </row>
    <row r="27" spans="1:12" x14ac:dyDescent="0.3">
      <c r="K27">
        <f>INDEX(L20:L24,MATCH("Grand Total",K20:K24,0))</f>
        <v>171756.05</v>
      </c>
    </row>
    <row r="35" spans="1:13" x14ac:dyDescent="0.3">
      <c r="A35" s="44" t="s">
        <v>453</v>
      </c>
      <c r="B35" t="s">
        <v>454</v>
      </c>
      <c r="C35" t="s">
        <v>456</v>
      </c>
    </row>
    <row r="36" spans="1:13" x14ac:dyDescent="0.3">
      <c r="A36" s="46" t="s">
        <v>21</v>
      </c>
      <c r="B36" s="47">
        <v>5429.7878983546061</v>
      </c>
      <c r="C36" s="47">
        <v>24889.33</v>
      </c>
      <c r="K36" s="44" t="s">
        <v>453</v>
      </c>
      <c r="L36" t="s">
        <v>467</v>
      </c>
      <c r="M36" t="s">
        <v>468</v>
      </c>
    </row>
    <row r="37" spans="1:13" x14ac:dyDescent="0.3">
      <c r="A37" s="46" t="s">
        <v>63</v>
      </c>
      <c r="B37" s="47">
        <v>11049.448963135665</v>
      </c>
      <c r="C37" s="47">
        <v>50649.009999999995</v>
      </c>
      <c r="K37" s="46" t="s">
        <v>22</v>
      </c>
      <c r="L37" s="47">
        <v>1253.4081250000002</v>
      </c>
      <c r="M37" s="47">
        <v>273.44007527821509</v>
      </c>
    </row>
    <row r="38" spans="1:13" x14ac:dyDescent="0.3">
      <c r="A38" s="46" t="s">
        <v>40</v>
      </c>
      <c r="B38" s="47">
        <v>8560.2812343704027</v>
      </c>
      <c r="C38" s="47">
        <v>39239.040000000001</v>
      </c>
      <c r="K38" s="46" t="s">
        <v>27</v>
      </c>
      <c r="L38" s="47">
        <v>1146.1767241379314</v>
      </c>
      <c r="M38" s="47">
        <v>250.04676727336016</v>
      </c>
    </row>
    <row r="39" spans="1:13" x14ac:dyDescent="0.3">
      <c r="A39" s="46" t="s">
        <v>35</v>
      </c>
      <c r="B39" s="47">
        <v>5573.7695047311163</v>
      </c>
      <c r="C39" s="47">
        <v>25549.319999999992</v>
      </c>
      <c r="K39" s="46" t="s">
        <v>36</v>
      </c>
      <c r="L39" s="47">
        <v>1589.4814634146339</v>
      </c>
      <c r="M39" s="47">
        <v>346.75691208673544</v>
      </c>
    </row>
    <row r="40" spans="1:13" x14ac:dyDescent="0.3">
      <c r="A40" s="46" t="s">
        <v>50</v>
      </c>
      <c r="B40" s="47">
        <v>6856.5407057221446</v>
      </c>
      <c r="C40" s="47">
        <v>31429.350000000006</v>
      </c>
      <c r="K40" s="46" t="s">
        <v>455</v>
      </c>
      <c r="L40" s="47">
        <v>1311.1148854961837</v>
      </c>
      <c r="M40" s="47">
        <v>286.02922371232012</v>
      </c>
    </row>
    <row r="41" spans="1:13" x14ac:dyDescent="0.3">
      <c r="A41" s="46" t="s">
        <v>455</v>
      </c>
      <c r="B41" s="47">
        <v>37469.828306313932</v>
      </c>
      <c r="C41" s="47">
        <v>171756.05000000002</v>
      </c>
    </row>
    <row r="43" spans="1:13" x14ac:dyDescent="0.3">
      <c r="K43" s="49">
        <f>INDEX(M37:M40,MATCH("Grand Total",K37:K40,0))</f>
        <v>286.02922371232012</v>
      </c>
    </row>
    <row r="44" spans="1:13" x14ac:dyDescent="0.3">
      <c r="A44">
        <f>INDEX(C36:C41,MATCH("Grand Total",A36:A41,0))</f>
        <v>171756.05000000002</v>
      </c>
    </row>
    <row r="54" spans="1:11" x14ac:dyDescent="0.3">
      <c r="A54" s="44" t="s">
        <v>453</v>
      </c>
      <c r="B54" t="s">
        <v>467</v>
      </c>
      <c r="C54" t="s">
        <v>468</v>
      </c>
      <c r="I54" s="44" t="s">
        <v>454</v>
      </c>
      <c r="J54" s="44" t="s">
        <v>466</v>
      </c>
    </row>
    <row r="55" spans="1:11" x14ac:dyDescent="0.3">
      <c r="A55" s="46" t="s">
        <v>53</v>
      </c>
      <c r="B55" s="47">
        <v>440.59562499999993</v>
      </c>
      <c r="C55" s="47">
        <v>96.119131880728986</v>
      </c>
      <c r="I55" s="44" t="s">
        <v>453</v>
      </c>
      <c r="J55" t="s">
        <v>19</v>
      </c>
      <c r="K55" t="s">
        <v>455</v>
      </c>
    </row>
    <row r="56" spans="1:11" x14ac:dyDescent="0.3">
      <c r="A56" s="46" t="s">
        <v>118</v>
      </c>
      <c r="B56" s="47">
        <v>235.5620588235293</v>
      </c>
      <c r="C56" s="47">
        <v>51.389572009832939</v>
      </c>
      <c r="I56" s="46" t="s">
        <v>21</v>
      </c>
      <c r="J56" s="47">
        <v>5429.7878983546061</v>
      </c>
      <c r="K56" s="47">
        <v>5429.7878983546061</v>
      </c>
    </row>
    <row r="57" spans="1:11" x14ac:dyDescent="0.3">
      <c r="A57" s="46" t="s">
        <v>62</v>
      </c>
      <c r="B57" s="47">
        <v>2812.4687499999995</v>
      </c>
      <c r="C57" s="47">
        <v>613.56046077779115</v>
      </c>
      <c r="I57" s="46" t="s">
        <v>63</v>
      </c>
      <c r="J57" s="47">
        <v>11049.448963135665</v>
      </c>
      <c r="K57" s="47">
        <v>11049.448963135665</v>
      </c>
    </row>
    <row r="58" spans="1:11" x14ac:dyDescent="0.3">
      <c r="A58" s="46" t="s">
        <v>18</v>
      </c>
      <c r="B58" s="47">
        <v>846.12000000000023</v>
      </c>
      <c r="C58" s="47">
        <v>184.58721615068788</v>
      </c>
      <c r="I58" s="46" t="s">
        <v>40</v>
      </c>
      <c r="J58" s="47">
        <v>8560.2812343704027</v>
      </c>
      <c r="K58" s="47">
        <v>8560.2812343704027</v>
      </c>
    </row>
    <row r="59" spans="1:11" x14ac:dyDescent="0.3">
      <c r="A59" s="46" t="s">
        <v>81</v>
      </c>
      <c r="B59" s="47">
        <v>2167.7109677419362</v>
      </c>
      <c r="C59" s="47">
        <v>472.9018732033249</v>
      </c>
      <c r="I59" s="46" t="s">
        <v>35</v>
      </c>
      <c r="J59" s="47">
        <v>5573.7695047311163</v>
      </c>
      <c r="K59" s="47">
        <v>5573.7695047311163</v>
      </c>
    </row>
    <row r="60" spans="1:11" x14ac:dyDescent="0.3">
      <c r="A60" s="46" t="s">
        <v>455</v>
      </c>
      <c r="B60" s="47">
        <v>1311.1148854961841</v>
      </c>
      <c r="C60" s="47">
        <v>286.02922371232006</v>
      </c>
      <c r="I60" s="46" t="s">
        <v>50</v>
      </c>
      <c r="J60" s="47">
        <v>6856.5407057221446</v>
      </c>
      <c r="K60" s="47">
        <v>6856.5407057221446</v>
      </c>
    </row>
    <row r="61" spans="1:11" x14ac:dyDescent="0.3">
      <c r="I61" s="46" t="s">
        <v>455</v>
      </c>
      <c r="J61" s="47">
        <v>37469.828306313932</v>
      </c>
      <c r="K61" s="47">
        <v>37469.828306313932</v>
      </c>
    </row>
    <row r="70" spans="1:3" x14ac:dyDescent="0.3">
      <c r="A70" s="44" t="s">
        <v>453</v>
      </c>
      <c r="B70" t="s">
        <v>454</v>
      </c>
      <c r="C70" t="s">
        <v>467</v>
      </c>
    </row>
    <row r="71" spans="1:3" x14ac:dyDescent="0.3">
      <c r="A71" s="46" t="s">
        <v>19</v>
      </c>
      <c r="B71" s="47">
        <v>37469.828306313924</v>
      </c>
      <c r="C71" s="47">
        <v>1311.1148854961841</v>
      </c>
    </row>
    <row r="72" spans="1:3" x14ac:dyDescent="0.3">
      <c r="A72" s="46" t="s">
        <v>455</v>
      </c>
      <c r="B72" s="36">
        <v>37469.828306313924</v>
      </c>
      <c r="C72" s="36">
        <v>1311.1148854961841</v>
      </c>
    </row>
    <row r="76" spans="1:3" x14ac:dyDescent="0.3">
      <c r="A76" s="36">
        <f>INDEX(B71:B74,MATCH("Grand Total",A71:A74,0))</f>
        <v>37469.828306313924</v>
      </c>
      <c r="C76" s="36">
        <f>INDEX(C71:C74,MATCH("Grand Total",A71:A74,0))</f>
        <v>1311.1148854961841</v>
      </c>
    </row>
  </sheetData>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90D1B-ABA9-4E6B-8EC5-651EF0C4560D}">
  <dimension ref="A1"/>
  <sheetViews>
    <sheetView tabSelected="1" zoomScale="46" workbookViewId="0">
      <selection activeCell="Z9" sqref="Z9"/>
    </sheetView>
  </sheetViews>
  <sheetFormatPr defaultRowHeight="14.4" x14ac:dyDescent="0.3"/>
  <cols>
    <col min="1" max="16384" width="8.88671875" style="4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1B45-6897-44C0-9DDF-9BD96E192C94}">
  <dimension ref="A1:AP252"/>
  <sheetViews>
    <sheetView zoomScale="78" workbookViewId="0">
      <selection activeCell="M20" sqref="M20"/>
    </sheetView>
  </sheetViews>
  <sheetFormatPr defaultRowHeight="14.4" x14ac:dyDescent="0.3"/>
  <cols>
    <col min="1" max="1" width="16.44140625" customWidth="1"/>
    <col min="2" max="2" width="10.33203125" style="10" customWidth="1"/>
    <col min="3" max="3" width="14.5546875" customWidth="1"/>
    <col min="4" max="4" width="17.77734375" customWidth="1"/>
    <col min="5" max="5" width="13" customWidth="1"/>
    <col min="6" max="6" width="16.21875" customWidth="1"/>
    <col min="7" max="7" width="11.88671875" customWidth="1"/>
    <col min="8" max="8" width="10.6640625" style="36" customWidth="1"/>
    <col min="9" max="9" width="12.21875" customWidth="1"/>
    <col min="10" max="10" width="18.33203125" customWidth="1"/>
    <col min="11" max="11" width="9.33203125" customWidth="1"/>
    <col min="12" max="12" width="20.6640625" customWidth="1"/>
    <col min="13" max="13" width="17.6640625" style="10" customWidth="1"/>
    <col min="14" max="14" width="15.44140625" style="36" customWidth="1"/>
    <col min="15" max="15" width="18.5546875" customWidth="1"/>
    <col min="16" max="16" width="25" customWidth="1"/>
    <col min="17" max="17" width="17.5546875" customWidth="1"/>
    <col min="18" max="18" width="24.77734375" customWidth="1"/>
    <col min="19" max="19" width="14.5546875" customWidth="1"/>
    <col min="20" max="20" width="10.5546875" customWidth="1"/>
    <col min="21" max="21" width="24" customWidth="1"/>
    <col min="22" max="22" width="22.77734375" customWidth="1"/>
    <col min="23" max="23" width="16.6640625" customWidth="1"/>
    <col min="24" max="24" width="31.5546875" customWidth="1"/>
    <col min="28" max="28" width="31.5546875" customWidth="1"/>
  </cols>
  <sheetData>
    <row r="1" spans="1:42" ht="25.8" customHeight="1" thickBot="1" x14ac:dyDescent="0.45">
      <c r="A1" s="1" t="s">
        <v>0</v>
      </c>
      <c r="B1" s="7" t="s">
        <v>1</v>
      </c>
      <c r="C1" s="2" t="s">
        <v>2</v>
      </c>
      <c r="D1" s="2" t="s">
        <v>3</v>
      </c>
      <c r="E1" s="2" t="s">
        <v>4</v>
      </c>
      <c r="F1" s="2" t="s">
        <v>5</v>
      </c>
      <c r="G1" s="2" t="s">
        <v>6</v>
      </c>
      <c r="H1" s="37" t="s">
        <v>7</v>
      </c>
      <c r="I1" s="2" t="s">
        <v>8</v>
      </c>
      <c r="J1" s="2" t="s">
        <v>9</v>
      </c>
      <c r="K1" s="2" t="s">
        <v>10</v>
      </c>
      <c r="L1" s="2" t="s">
        <v>11</v>
      </c>
      <c r="M1" s="7" t="s">
        <v>12</v>
      </c>
      <c r="N1" s="33" t="s">
        <v>13</v>
      </c>
      <c r="O1" s="2" t="s">
        <v>399</v>
      </c>
      <c r="P1" s="2" t="s">
        <v>400</v>
      </c>
      <c r="Q1" s="2" t="s">
        <v>401</v>
      </c>
      <c r="R1" s="2" t="s">
        <v>402</v>
      </c>
      <c r="S1" s="2" t="s">
        <v>405</v>
      </c>
      <c r="T1" s="2" t="s">
        <v>407</v>
      </c>
      <c r="U1" s="2" t="s">
        <v>448</v>
      </c>
      <c r="V1" s="2" t="s">
        <v>449</v>
      </c>
      <c r="W1" s="2" t="s">
        <v>451</v>
      </c>
      <c r="AB1" s="15" t="s">
        <v>404</v>
      </c>
    </row>
    <row r="2" spans="1:42" ht="15" thickBot="1" x14ac:dyDescent="0.35">
      <c r="A2" s="3" t="s">
        <v>14</v>
      </c>
      <c r="B2" s="8">
        <v>45393</v>
      </c>
      <c r="C2" s="4" t="s">
        <v>15</v>
      </c>
      <c r="D2" s="4" t="s">
        <v>16</v>
      </c>
      <c r="E2" s="4" t="s">
        <v>17</v>
      </c>
      <c r="F2" s="4" t="s">
        <v>18</v>
      </c>
      <c r="G2" s="4" t="s">
        <v>19</v>
      </c>
      <c r="H2" s="38">
        <v>3</v>
      </c>
      <c r="I2" s="4">
        <v>249.99</v>
      </c>
      <c r="J2" s="4" t="s">
        <v>20</v>
      </c>
      <c r="K2" s="4" t="s">
        <v>21</v>
      </c>
      <c r="L2" s="4" t="s">
        <v>22</v>
      </c>
      <c r="M2" s="8">
        <v>44425</v>
      </c>
      <c r="N2" s="34">
        <v>749.97</v>
      </c>
      <c r="O2" s="11">
        <f ca="1">DATEDIF(Table1[[#This Row],[Customer_Since]],TODAY(),"Y")</f>
        <v>4</v>
      </c>
      <c r="P2" s="12">
        <f ca="1">DATEDIF(Table1[[#This Row],[Date]],TODAY(),"M")</f>
        <v>22</v>
      </c>
      <c r="Q2" s="12" t="str">
        <f ca="1">IF(Table1[[#This Row],[Months_Since_Purchase]]&gt;12,"Inactive","Active")</f>
        <v>Inactive</v>
      </c>
      <c r="R2" s="14">
        <f>EOMONTH(Table1[[#This Row],[Date]],0)</f>
        <v>45412</v>
      </c>
      <c r="S2" s="13" t="str">
        <f>IF(Table1[[#This Row],[Total_Amount]]&gt;=700,"High",
 IF(Table1[[#This Row],[Total_Amount]]&gt;=300,"Medium","Low"))</f>
        <v>High</v>
      </c>
      <c r="T2" s="13">
        <f>Table1[[#This Row],[Total_Amount]]*(1-$AC$8)*0.3</f>
        <v>163.6113961335642</v>
      </c>
      <c r="U2" s="13">
        <f t="shared" ref="U2:U65" si="0">SUMIFS(N:N,C:C,C:C)</f>
        <v>8309.739999999998</v>
      </c>
      <c r="V2" s="13" t="str">
        <f>IF(Table1[[#This Row],[Customer_Total_Spend]]&gt;5000,"Yes","No")</f>
        <v>Yes</v>
      </c>
      <c r="W2" s="13">
        <f t="shared" ref="W2:W65" si="1">COUNTIF(F:F,F:F)</f>
        <v>26</v>
      </c>
      <c r="AB2" t="s">
        <v>403</v>
      </c>
      <c r="AC2" t="str" cm="1">
        <f t="array" ref="AC2:AP6">_xlfn._xlws.FILTER(A2:N1000, C2:C1000=AB2, "No Records")</f>
        <v>TRX0023</v>
      </c>
      <c r="AD2">
        <v>45396</v>
      </c>
      <c r="AE2" t="str">
        <v>CUST013</v>
      </c>
      <c r="AF2" t="str">
        <v>Joseph Jackson</v>
      </c>
      <c r="AG2" t="str">
        <v>P009</v>
      </c>
      <c r="AH2" t="str">
        <v>Monitor</v>
      </c>
      <c r="AI2" t="str">
        <v>Electronics</v>
      </c>
      <c r="AJ2">
        <v>3</v>
      </c>
      <c r="AK2">
        <v>249.99</v>
      </c>
      <c r="AL2" t="str">
        <v>Credit Card</v>
      </c>
      <c r="AM2" t="str">
        <v>Central</v>
      </c>
      <c r="AN2" t="str">
        <v>Premium</v>
      </c>
      <c r="AO2">
        <v>44575</v>
      </c>
      <c r="AP2">
        <v>749.97</v>
      </c>
    </row>
    <row r="3" spans="1:42" ht="15" thickBot="1" x14ac:dyDescent="0.35">
      <c r="A3" s="3" t="s">
        <v>23</v>
      </c>
      <c r="B3" s="8">
        <v>45396</v>
      </c>
      <c r="C3" s="4" t="s">
        <v>24</v>
      </c>
      <c r="D3" s="4" t="s">
        <v>25</v>
      </c>
      <c r="E3" s="4" t="s">
        <v>17</v>
      </c>
      <c r="F3" s="4" t="s">
        <v>18</v>
      </c>
      <c r="G3" s="4" t="s">
        <v>19</v>
      </c>
      <c r="H3" s="38">
        <v>3</v>
      </c>
      <c r="I3" s="4">
        <v>249.99</v>
      </c>
      <c r="J3" s="4" t="s">
        <v>26</v>
      </c>
      <c r="K3" s="4" t="s">
        <v>21</v>
      </c>
      <c r="L3" s="4" t="s">
        <v>27</v>
      </c>
      <c r="M3" s="8">
        <v>44575</v>
      </c>
      <c r="N3" s="34">
        <v>749.97</v>
      </c>
      <c r="O3" s="4">
        <f ca="1">DATEDIF(Table1[[#This Row],[Customer_Since]],TODAY(),"Y")</f>
        <v>4</v>
      </c>
      <c r="P3" s="12">
        <f ca="1">DATEDIF(Table1[[#This Row],[Date]],TODAY(),"M")</f>
        <v>22</v>
      </c>
      <c r="Q3" s="12" t="str">
        <f ca="1">IF(Table1[[#This Row],[Months_Since_Purchase]]&gt;12,"Inactive","Active")</f>
        <v>Inactive</v>
      </c>
      <c r="R3" s="14">
        <f>EOMONTH(Table1[[#This Row],[Date]],0)</f>
        <v>45412</v>
      </c>
      <c r="S3" s="13" t="str">
        <f>IF(Table1[[#This Row],[Total_Amount]]&gt;=700,"High",
 IF(Table1[[#This Row],[Total_Amount]]&gt;=300,"Medium","Low"))</f>
        <v>High</v>
      </c>
      <c r="T3" s="13">
        <f>Table1[[#This Row],[Total_Amount]]*(1-$AC$8)*0.3</f>
        <v>163.6113961335642</v>
      </c>
      <c r="U3" s="13">
        <f t="shared" si="0"/>
        <v>6949.84</v>
      </c>
      <c r="V3" s="13" t="str">
        <f>IF(Table1[[#This Row],[Customer_Total_Spend]]&gt;5000,"Yes","No")</f>
        <v>Yes</v>
      </c>
      <c r="W3" s="13">
        <f t="shared" si="1"/>
        <v>26</v>
      </c>
      <c r="AC3" t="str">
        <v>TRX0234</v>
      </c>
      <c r="AD3">
        <v>45449</v>
      </c>
      <c r="AE3" t="str">
        <v>CUST013</v>
      </c>
      <c r="AF3" t="str">
        <v>Joseph Jackson</v>
      </c>
      <c r="AG3" t="str">
        <v>P009</v>
      </c>
      <c r="AH3" t="str">
        <v>Monitor</v>
      </c>
      <c r="AI3" t="str">
        <v>Electronics</v>
      </c>
      <c r="AJ3">
        <v>5</v>
      </c>
      <c r="AK3">
        <v>249.99</v>
      </c>
      <c r="AL3" t="str">
        <v>Credit Card</v>
      </c>
      <c r="AM3" t="str">
        <v>East</v>
      </c>
      <c r="AN3" t="str">
        <v>Standard</v>
      </c>
      <c r="AO3">
        <v>44707</v>
      </c>
      <c r="AP3">
        <v>1249.95</v>
      </c>
    </row>
    <row r="4" spans="1:42" ht="15" thickBot="1" x14ac:dyDescent="0.35">
      <c r="A4" s="3" t="s">
        <v>28</v>
      </c>
      <c r="B4" s="8">
        <v>45399</v>
      </c>
      <c r="C4" s="4" t="s">
        <v>29</v>
      </c>
      <c r="D4" s="4" t="s">
        <v>30</v>
      </c>
      <c r="E4" s="4" t="s">
        <v>31</v>
      </c>
      <c r="F4" s="4" t="s">
        <v>32</v>
      </c>
      <c r="G4" s="4" t="s">
        <v>33</v>
      </c>
      <c r="H4" s="38">
        <v>3</v>
      </c>
      <c r="I4" s="4">
        <v>59.99</v>
      </c>
      <c r="J4" s="4" t="s">
        <v>34</v>
      </c>
      <c r="K4" s="4" t="s">
        <v>35</v>
      </c>
      <c r="L4" s="4" t="s">
        <v>36</v>
      </c>
      <c r="M4" s="8">
        <v>45262</v>
      </c>
      <c r="N4" s="34">
        <v>179.97</v>
      </c>
      <c r="O4" s="4">
        <f ca="1">DATEDIF(Table1[[#This Row],[Customer_Since]],TODAY(),"Y")</f>
        <v>2</v>
      </c>
      <c r="P4" s="12">
        <f ca="1">DATEDIF(Table1[[#This Row],[Date]],TODAY(),"M")</f>
        <v>22</v>
      </c>
      <c r="Q4" s="12" t="str">
        <f ca="1">IF(Table1[[#This Row],[Months_Since_Purchase]]&gt;12,"Inactive","Active")</f>
        <v>Inactive</v>
      </c>
      <c r="R4" s="14">
        <f>EOMONTH(Table1[[#This Row],[Date]],0)</f>
        <v>45412</v>
      </c>
      <c r="S4" s="13" t="str">
        <f>IF(Table1[[#This Row],[Total_Amount]]&gt;=700,"High",
 IF(Table1[[#This Row],[Total_Amount]]&gt;=300,"Medium","Low"))</f>
        <v>Low</v>
      </c>
      <c r="T4" s="13">
        <f>Table1[[#This Row],[Total_Amount]]*(1-$AC$8)*0.3</f>
        <v>39.261761086653529</v>
      </c>
      <c r="U4" s="13">
        <f t="shared" si="0"/>
        <v>3259.87</v>
      </c>
      <c r="V4" s="13" t="str">
        <f>IF(Table1[[#This Row],[Customer_Total_Spend]]&gt;5000,"Yes","No")</f>
        <v>No</v>
      </c>
      <c r="W4" s="13">
        <f t="shared" si="1"/>
        <v>29</v>
      </c>
      <c r="AC4" t="str">
        <v>TRX0018</v>
      </c>
      <c r="AD4">
        <v>45484</v>
      </c>
      <c r="AE4" t="str">
        <v>CUST013</v>
      </c>
      <c r="AF4" t="str">
        <v>Joseph Jackson</v>
      </c>
      <c r="AG4" t="str">
        <v>P003</v>
      </c>
      <c r="AH4" t="str">
        <v>Headphones</v>
      </c>
      <c r="AI4" t="str">
        <v>Electronics</v>
      </c>
      <c r="AJ4">
        <v>1</v>
      </c>
      <c r="AK4">
        <v>149.99</v>
      </c>
      <c r="AL4" t="str">
        <v>Cash</v>
      </c>
      <c r="AM4" t="str">
        <v>Central</v>
      </c>
      <c r="AN4" t="str">
        <v>Standard</v>
      </c>
      <c r="AO4">
        <v>44909</v>
      </c>
      <c r="AP4">
        <v>149.99</v>
      </c>
    </row>
    <row r="5" spans="1:42" ht="15" thickBot="1" x14ac:dyDescent="0.35">
      <c r="A5" s="3" t="s">
        <v>37</v>
      </c>
      <c r="B5" s="8">
        <v>45400</v>
      </c>
      <c r="C5" s="4" t="s">
        <v>38</v>
      </c>
      <c r="D5" s="4" t="s">
        <v>39</v>
      </c>
      <c r="E5" s="4" t="s">
        <v>31</v>
      </c>
      <c r="F5" s="4" t="s">
        <v>32</v>
      </c>
      <c r="G5" s="4" t="s">
        <v>33</v>
      </c>
      <c r="H5" s="38">
        <v>3</v>
      </c>
      <c r="I5" s="4">
        <v>59.99</v>
      </c>
      <c r="J5" s="4" t="s">
        <v>20</v>
      </c>
      <c r="K5" s="4" t="s">
        <v>40</v>
      </c>
      <c r="L5" s="4" t="s">
        <v>27</v>
      </c>
      <c r="M5" s="8">
        <v>45114</v>
      </c>
      <c r="N5" s="34">
        <v>179.97</v>
      </c>
      <c r="O5" s="4">
        <f ca="1">DATEDIF(Table1[[#This Row],[Customer_Since]],TODAY(),"Y")</f>
        <v>2</v>
      </c>
      <c r="P5" s="12">
        <f ca="1">DATEDIF(Table1[[#This Row],[Date]],TODAY(),"M")</f>
        <v>22</v>
      </c>
      <c r="Q5" s="12" t="str">
        <f ca="1">IF(Table1[[#This Row],[Months_Since_Purchase]]&gt;12,"Inactive","Active")</f>
        <v>Inactive</v>
      </c>
      <c r="R5" s="14">
        <f>EOMONTH(Table1[[#This Row],[Date]],0)</f>
        <v>45412</v>
      </c>
      <c r="S5" s="13" t="str">
        <f>IF(Table1[[#This Row],[Total_Amount]]&gt;=700,"High",
 IF(Table1[[#This Row],[Total_Amount]]&gt;=300,"Medium","Low"))</f>
        <v>Low</v>
      </c>
      <c r="T5" s="13">
        <f>Table1[[#This Row],[Total_Amount]]*(1-$AC$8)*0.3</f>
        <v>39.261761086653529</v>
      </c>
      <c r="U5" s="13">
        <f t="shared" si="0"/>
        <v>4309.8099999999995</v>
      </c>
      <c r="V5" s="13" t="str">
        <f>IF(Table1[[#This Row],[Customer_Total_Spend]]&gt;5000,"Yes","No")</f>
        <v>No</v>
      </c>
      <c r="W5" s="13">
        <f t="shared" si="1"/>
        <v>29</v>
      </c>
      <c r="AC5" t="str">
        <v>TRX0244</v>
      </c>
      <c r="AD5">
        <v>45497</v>
      </c>
      <c r="AE5" t="str">
        <v>CUST013</v>
      </c>
      <c r="AF5" t="str">
        <v>Joseph Jackson</v>
      </c>
      <c r="AG5" t="str">
        <v>P001</v>
      </c>
      <c r="AH5" t="str">
        <v>Laptop</v>
      </c>
      <c r="AI5" t="str">
        <v>Electronics</v>
      </c>
      <c r="AJ5">
        <v>5</v>
      </c>
      <c r="AK5">
        <v>899.99</v>
      </c>
      <c r="AL5" t="str">
        <v>Debit Card</v>
      </c>
      <c r="AM5" t="str">
        <v>South</v>
      </c>
      <c r="AN5" t="str">
        <v>Standard</v>
      </c>
      <c r="AO5">
        <v>44899</v>
      </c>
      <c r="AP5">
        <v>4499.95</v>
      </c>
    </row>
    <row r="6" spans="1:42" ht="15" thickBot="1" x14ac:dyDescent="0.35">
      <c r="A6" s="3" t="s">
        <v>41</v>
      </c>
      <c r="B6" s="8">
        <v>45400</v>
      </c>
      <c r="C6" s="4" t="s">
        <v>42</v>
      </c>
      <c r="D6" s="4" t="s">
        <v>43</v>
      </c>
      <c r="E6" s="4" t="s">
        <v>44</v>
      </c>
      <c r="F6" s="4" t="s">
        <v>45</v>
      </c>
      <c r="G6" s="4" t="s">
        <v>46</v>
      </c>
      <c r="H6" s="38">
        <v>5</v>
      </c>
      <c r="I6" s="4">
        <v>149.99</v>
      </c>
      <c r="J6" s="4" t="s">
        <v>26</v>
      </c>
      <c r="K6" s="4" t="s">
        <v>40</v>
      </c>
      <c r="L6" s="4" t="s">
        <v>27</v>
      </c>
      <c r="M6" s="8">
        <v>45295</v>
      </c>
      <c r="N6" s="34">
        <v>749.95</v>
      </c>
      <c r="O6" s="4">
        <f ca="1">DATEDIF(Table1[[#This Row],[Customer_Since]],TODAY(),"Y")</f>
        <v>2</v>
      </c>
      <c r="P6" s="12">
        <f ca="1">DATEDIF(Table1[[#This Row],[Date]],TODAY(),"M")</f>
        <v>22</v>
      </c>
      <c r="Q6" s="12" t="str">
        <f ca="1">IF(Table1[[#This Row],[Months_Since_Purchase]]&gt;12,"Inactive","Active")</f>
        <v>Inactive</v>
      </c>
      <c r="R6" s="14">
        <f>EOMONTH(Table1[[#This Row],[Date]],0)</f>
        <v>45412</v>
      </c>
      <c r="S6" s="13" t="str">
        <f>IF(Table1[[#This Row],[Total_Amount]]&gt;=700,"High",
 IF(Table1[[#This Row],[Total_Amount]]&gt;=300,"Medium","Low"))</f>
        <v>High</v>
      </c>
      <c r="T6" s="13">
        <f>Table1[[#This Row],[Total_Amount]]*(1-$AC$8)*0.3</f>
        <v>163.60703298847483</v>
      </c>
      <c r="U6" s="13">
        <f t="shared" si="0"/>
        <v>6169.7400000000007</v>
      </c>
      <c r="V6" s="13" t="str">
        <f>IF(Table1[[#This Row],[Customer_Total_Spend]]&gt;5000,"Yes","No")</f>
        <v>Yes</v>
      </c>
      <c r="W6" s="13">
        <f t="shared" si="1"/>
        <v>35</v>
      </c>
      <c r="AC6" t="str">
        <v>TRX0133</v>
      </c>
      <c r="AD6">
        <v>45627</v>
      </c>
      <c r="AE6" t="str">
        <v>CUST013</v>
      </c>
      <c r="AF6" t="str">
        <v>Joseph Jackson</v>
      </c>
      <c r="AG6" t="str">
        <v>P003</v>
      </c>
      <c r="AH6" t="str">
        <v>Headphones</v>
      </c>
      <c r="AI6" t="str">
        <v>Electronics</v>
      </c>
      <c r="AJ6">
        <v>2</v>
      </c>
      <c r="AK6">
        <v>149.99</v>
      </c>
      <c r="AL6" t="str">
        <v>Cash</v>
      </c>
      <c r="AM6" t="str">
        <v>South</v>
      </c>
      <c r="AN6" t="str">
        <v>Premium</v>
      </c>
      <c r="AO6">
        <v>44475</v>
      </c>
      <c r="AP6">
        <v>299.98</v>
      </c>
    </row>
    <row r="7" spans="1:42" ht="15" thickBot="1" x14ac:dyDescent="0.35">
      <c r="A7" s="3" t="s">
        <v>47</v>
      </c>
      <c r="B7" s="8">
        <v>45403</v>
      </c>
      <c r="C7" s="4" t="s">
        <v>48</v>
      </c>
      <c r="D7" s="4" t="s">
        <v>49</v>
      </c>
      <c r="E7" s="4" t="s">
        <v>31</v>
      </c>
      <c r="F7" s="4" t="s">
        <v>32</v>
      </c>
      <c r="G7" s="4" t="s">
        <v>33</v>
      </c>
      <c r="H7" s="38">
        <v>2</v>
      </c>
      <c r="I7" s="4">
        <v>59.99</v>
      </c>
      <c r="J7" s="4" t="s">
        <v>20</v>
      </c>
      <c r="K7" s="4" t="s">
        <v>50</v>
      </c>
      <c r="L7" s="4" t="s">
        <v>36</v>
      </c>
      <c r="M7" s="8">
        <v>44746</v>
      </c>
      <c r="N7" s="34">
        <v>119.98</v>
      </c>
      <c r="O7" s="4">
        <f ca="1">DATEDIF(Table1[[#This Row],[Customer_Since]],TODAY(),"Y")</f>
        <v>3</v>
      </c>
      <c r="P7" s="12">
        <f ca="1">DATEDIF(Table1[[#This Row],[Date]],TODAY(),"M")</f>
        <v>22</v>
      </c>
      <c r="Q7" s="12" t="str">
        <f ca="1">IF(Table1[[#This Row],[Months_Since_Purchase]]&gt;12,"Inactive","Active")</f>
        <v>Inactive</v>
      </c>
      <c r="R7" s="14">
        <f>EOMONTH(Table1[[#This Row],[Date]],0)</f>
        <v>45412</v>
      </c>
      <c r="S7" s="13" t="str">
        <f>IF(Table1[[#This Row],[Total_Amount]]&gt;=700,"High",
 IF(Table1[[#This Row],[Total_Amount]]&gt;=300,"Medium","Low"))</f>
        <v>Low</v>
      </c>
      <c r="T7" s="13">
        <f>Table1[[#This Row],[Total_Amount]]*(1-$AC$8)*0.3</f>
        <v>26.174507391102356</v>
      </c>
      <c r="U7" s="13">
        <f t="shared" si="0"/>
        <v>8269.7900000000009</v>
      </c>
      <c r="V7" s="13" t="str">
        <f>IF(Table1[[#This Row],[Customer_Total_Spend]]&gt;5000,"Yes","No")</f>
        <v>Yes</v>
      </c>
      <c r="W7" s="13">
        <f t="shared" si="1"/>
        <v>29</v>
      </c>
    </row>
    <row r="8" spans="1:42" ht="15" thickBot="1" x14ac:dyDescent="0.35">
      <c r="A8" s="3" t="s">
        <v>51</v>
      </c>
      <c r="B8" s="8">
        <v>45403</v>
      </c>
      <c r="C8" s="4" t="s">
        <v>48</v>
      </c>
      <c r="D8" s="4" t="s">
        <v>49</v>
      </c>
      <c r="E8" s="4" t="s">
        <v>52</v>
      </c>
      <c r="F8" s="4" t="s">
        <v>53</v>
      </c>
      <c r="G8" s="4" t="s">
        <v>19</v>
      </c>
      <c r="H8" s="38">
        <v>5</v>
      </c>
      <c r="I8" s="4">
        <v>149.99</v>
      </c>
      <c r="J8" s="4" t="s">
        <v>26</v>
      </c>
      <c r="K8" s="4" t="s">
        <v>21</v>
      </c>
      <c r="L8" s="4" t="s">
        <v>36</v>
      </c>
      <c r="M8" s="8">
        <v>44418</v>
      </c>
      <c r="N8" s="34">
        <v>749.95</v>
      </c>
      <c r="O8" s="4">
        <f ca="1">DATEDIF(Table1[[#This Row],[Customer_Since]],TODAY(),"Y")</f>
        <v>4</v>
      </c>
      <c r="P8" s="12">
        <f ca="1">DATEDIF(Table1[[#This Row],[Date]],TODAY(),"M")</f>
        <v>22</v>
      </c>
      <c r="Q8" s="12" t="str">
        <f ca="1">IF(Table1[[#This Row],[Months_Since_Purchase]]&gt;12,"Inactive","Active")</f>
        <v>Inactive</v>
      </c>
      <c r="R8" s="14">
        <f>EOMONTH(Table1[[#This Row],[Date]],0)</f>
        <v>45412</v>
      </c>
      <c r="S8" s="13" t="str">
        <f>IF(Table1[[#This Row],[Total_Amount]]&gt;=700,"High",
 IF(Table1[[#This Row],[Total_Amount]]&gt;=300,"Medium","Low"))</f>
        <v>High</v>
      </c>
      <c r="T8" s="13">
        <f>Table1[[#This Row],[Total_Amount]]*(1-$AC$8)*0.3</f>
        <v>163.60703298847483</v>
      </c>
      <c r="U8" s="13">
        <f t="shared" si="0"/>
        <v>8269.7900000000009</v>
      </c>
      <c r="V8" s="13" t="str">
        <f>IF(Table1[[#This Row],[Customer_Total_Spend]]&gt;5000,"Yes","No")</f>
        <v>Yes</v>
      </c>
      <c r="W8" s="13">
        <f t="shared" si="1"/>
        <v>16</v>
      </c>
      <c r="AB8" s="16" t="s">
        <v>406</v>
      </c>
      <c r="AC8" s="16">
        <v>0.2728091517724523</v>
      </c>
    </row>
    <row r="9" spans="1:42" ht="15" thickBot="1" x14ac:dyDescent="0.35">
      <c r="A9" s="3" t="s">
        <v>54</v>
      </c>
      <c r="B9" s="8">
        <v>45403</v>
      </c>
      <c r="C9" s="4" t="s">
        <v>55</v>
      </c>
      <c r="D9" s="4" t="s">
        <v>56</v>
      </c>
      <c r="E9" s="4" t="s">
        <v>31</v>
      </c>
      <c r="F9" s="4" t="s">
        <v>32</v>
      </c>
      <c r="G9" s="4" t="s">
        <v>33</v>
      </c>
      <c r="H9" s="38">
        <v>3</v>
      </c>
      <c r="I9" s="4">
        <v>59.99</v>
      </c>
      <c r="J9" s="4" t="s">
        <v>57</v>
      </c>
      <c r="K9" s="4" t="s">
        <v>35</v>
      </c>
      <c r="L9" s="4" t="s">
        <v>22</v>
      </c>
      <c r="M9" s="8">
        <v>45007</v>
      </c>
      <c r="N9" s="34">
        <v>179.97</v>
      </c>
      <c r="O9" s="4">
        <f ca="1">DATEDIF(Table1[[#This Row],[Customer_Since]],TODAY(),"Y")</f>
        <v>2</v>
      </c>
      <c r="P9" s="12">
        <f ca="1">DATEDIF(Table1[[#This Row],[Date]],TODAY(),"M")</f>
        <v>22</v>
      </c>
      <c r="Q9" s="12" t="str">
        <f ca="1">IF(Table1[[#This Row],[Months_Since_Purchase]]&gt;12,"Inactive","Active")</f>
        <v>Inactive</v>
      </c>
      <c r="R9" s="14">
        <f>EOMONTH(Table1[[#This Row],[Date]],0)</f>
        <v>45412</v>
      </c>
      <c r="S9" s="13" t="str">
        <f>IF(Table1[[#This Row],[Total_Amount]]&gt;=700,"High",
 IF(Table1[[#This Row],[Total_Amount]]&gt;=300,"Medium","Low"))</f>
        <v>Low</v>
      </c>
      <c r="T9" s="13">
        <f>Table1[[#This Row],[Total_Amount]]*(1-$AC$8)*0.3</f>
        <v>39.261761086653529</v>
      </c>
      <c r="U9" s="13">
        <f t="shared" si="0"/>
        <v>5089.7300000000005</v>
      </c>
      <c r="V9" s="13" t="str">
        <f>IF(Table1[[#This Row],[Customer_Total_Spend]]&gt;5000,"Yes","No")</f>
        <v>Yes</v>
      </c>
      <c r="W9" s="13">
        <f t="shared" si="1"/>
        <v>29</v>
      </c>
      <c r="AB9" t="s">
        <v>421</v>
      </c>
      <c r="AC9">
        <f>SUM(T:T)</f>
        <v>50200.000000000015</v>
      </c>
    </row>
    <row r="10" spans="1:42" ht="15" thickBot="1" x14ac:dyDescent="0.35">
      <c r="A10" s="3" t="s">
        <v>58</v>
      </c>
      <c r="B10" s="8">
        <v>45405</v>
      </c>
      <c r="C10" s="4" t="s">
        <v>59</v>
      </c>
      <c r="D10" s="4" t="s">
        <v>60</v>
      </c>
      <c r="E10" s="4" t="s">
        <v>61</v>
      </c>
      <c r="F10" s="4" t="s">
        <v>62</v>
      </c>
      <c r="G10" s="4" t="s">
        <v>19</v>
      </c>
      <c r="H10" s="38">
        <v>3</v>
      </c>
      <c r="I10" s="4">
        <v>899.99</v>
      </c>
      <c r="J10" s="4" t="s">
        <v>34</v>
      </c>
      <c r="K10" s="4" t="s">
        <v>63</v>
      </c>
      <c r="L10" s="4" t="s">
        <v>36</v>
      </c>
      <c r="M10" s="8">
        <v>45299</v>
      </c>
      <c r="N10" s="34">
        <v>2699.97</v>
      </c>
      <c r="O10" s="4">
        <f ca="1">DATEDIF(Table1[[#This Row],[Customer_Since]],TODAY(),"Y")</f>
        <v>2</v>
      </c>
      <c r="P10" s="12">
        <f ca="1">DATEDIF(Table1[[#This Row],[Date]],TODAY(),"M")</f>
        <v>22</v>
      </c>
      <c r="Q10" s="12" t="str">
        <f ca="1">IF(Table1[[#This Row],[Months_Since_Purchase]]&gt;12,"Inactive","Active")</f>
        <v>Inactive</v>
      </c>
      <c r="R10" s="14">
        <f>EOMONTH(Table1[[#This Row],[Date]],0)</f>
        <v>45412</v>
      </c>
      <c r="S10" s="13" t="str">
        <f>IF(Table1[[#This Row],[Total_Amount]]&gt;=700,"High",
 IF(Table1[[#This Row],[Total_Amount]]&gt;=300,"Medium","Low"))</f>
        <v>High</v>
      </c>
      <c r="T10" s="13">
        <f>Table1[[#This Row],[Total_Amount]]*(1-$AC$8)*0.3</f>
        <v>589.01804234667964</v>
      </c>
      <c r="U10" s="13">
        <f t="shared" si="0"/>
        <v>3509.8999999999996</v>
      </c>
      <c r="V10" s="13" t="str">
        <f>IF(Table1[[#This Row],[Customer_Total_Spend]]&gt;5000,"Yes","No")</f>
        <v>No</v>
      </c>
      <c r="W10" s="13">
        <f t="shared" si="1"/>
        <v>24</v>
      </c>
    </row>
    <row r="11" spans="1:42" ht="15" thickBot="1" x14ac:dyDescent="0.35">
      <c r="A11" s="3" t="s">
        <v>64</v>
      </c>
      <c r="B11" s="8">
        <v>45408</v>
      </c>
      <c r="C11" s="4" t="s">
        <v>65</v>
      </c>
      <c r="D11" s="4" t="s">
        <v>66</v>
      </c>
      <c r="E11" s="4" t="s">
        <v>31</v>
      </c>
      <c r="F11" s="4" t="s">
        <v>32</v>
      </c>
      <c r="G11" s="4" t="s">
        <v>33</v>
      </c>
      <c r="H11" s="38">
        <v>3</v>
      </c>
      <c r="I11" s="4">
        <v>59.99</v>
      </c>
      <c r="J11" s="4" t="s">
        <v>20</v>
      </c>
      <c r="K11" s="4" t="s">
        <v>50</v>
      </c>
      <c r="L11" s="4" t="s">
        <v>27</v>
      </c>
      <c r="M11" s="8">
        <v>45207</v>
      </c>
      <c r="N11" s="34">
        <v>179.97</v>
      </c>
      <c r="O11" s="4">
        <f ca="1">DATEDIF(Table1[[#This Row],[Customer_Since]],TODAY(),"Y")</f>
        <v>2</v>
      </c>
      <c r="P11" s="12">
        <f ca="1">DATEDIF(Table1[[#This Row],[Date]],TODAY(),"M")</f>
        <v>22</v>
      </c>
      <c r="Q11" s="12" t="str">
        <f ca="1">IF(Table1[[#This Row],[Months_Since_Purchase]]&gt;12,"Inactive","Active")</f>
        <v>Inactive</v>
      </c>
      <c r="R11" s="14">
        <f>EOMONTH(Table1[[#This Row],[Date]],0)</f>
        <v>45412</v>
      </c>
      <c r="S11" s="13" t="str">
        <f>IF(Table1[[#This Row],[Total_Amount]]&gt;=700,"High",
 IF(Table1[[#This Row],[Total_Amount]]&gt;=300,"Medium","Low"))</f>
        <v>Low</v>
      </c>
      <c r="T11" s="13">
        <f>Table1[[#This Row],[Total_Amount]]*(1-$AC$8)*0.3</f>
        <v>39.261761086653529</v>
      </c>
      <c r="U11" s="13">
        <f t="shared" si="0"/>
        <v>8009.7699999999995</v>
      </c>
      <c r="V11" s="13" t="str">
        <f>IF(Table1[[#This Row],[Customer_Total_Spend]]&gt;5000,"Yes","No")</f>
        <v>Yes</v>
      </c>
      <c r="W11" s="13">
        <f t="shared" si="1"/>
        <v>29</v>
      </c>
      <c r="AB11" s="43" t="s">
        <v>450</v>
      </c>
    </row>
    <row r="12" spans="1:42" ht="15" thickBot="1" x14ac:dyDescent="0.35">
      <c r="A12" s="3" t="s">
        <v>67</v>
      </c>
      <c r="B12" s="8">
        <v>45408</v>
      </c>
      <c r="C12" s="4" t="s">
        <v>68</v>
      </c>
      <c r="D12" s="4" t="s">
        <v>69</v>
      </c>
      <c r="E12" s="4" t="s">
        <v>44</v>
      </c>
      <c r="F12" s="4" t="s">
        <v>45</v>
      </c>
      <c r="G12" s="4" t="s">
        <v>46</v>
      </c>
      <c r="H12" s="38">
        <v>1</v>
      </c>
      <c r="I12" s="4">
        <v>149.99</v>
      </c>
      <c r="J12" s="4" t="s">
        <v>26</v>
      </c>
      <c r="K12" s="4" t="s">
        <v>50</v>
      </c>
      <c r="L12" s="4" t="s">
        <v>36</v>
      </c>
      <c r="M12" s="8">
        <v>45103</v>
      </c>
      <c r="N12" s="34">
        <v>149.99</v>
      </c>
      <c r="O12" s="4">
        <f ca="1">DATEDIF(Table1[[#This Row],[Customer_Since]],TODAY(),"Y")</f>
        <v>2</v>
      </c>
      <c r="P12" s="12">
        <f ca="1">DATEDIF(Table1[[#This Row],[Date]],TODAY(),"M")</f>
        <v>22</v>
      </c>
      <c r="Q12" s="12" t="str">
        <f ca="1">IF(Table1[[#This Row],[Months_Since_Purchase]]&gt;12,"Inactive","Active")</f>
        <v>Inactive</v>
      </c>
      <c r="R12" s="14">
        <f>EOMONTH(Table1[[#This Row],[Date]],0)</f>
        <v>45412</v>
      </c>
      <c r="S12" s="13" t="str">
        <f>IF(Table1[[#This Row],[Total_Amount]]&gt;=700,"High",
 IF(Table1[[#This Row],[Total_Amount]]&gt;=300,"Medium","Low"))</f>
        <v>Low</v>
      </c>
      <c r="T12" s="13">
        <f>Table1[[#This Row],[Total_Amount]]*(1-$AC$8)*0.3</f>
        <v>32.721406597694966</v>
      </c>
      <c r="U12" s="13">
        <f t="shared" si="0"/>
        <v>1979.89</v>
      </c>
      <c r="V12" s="13" t="str">
        <f>IF(Table1[[#This Row],[Customer_Total_Spend]]&gt;5000,"Yes","No")</f>
        <v>No</v>
      </c>
      <c r="W12" s="13">
        <f t="shared" si="1"/>
        <v>35</v>
      </c>
      <c r="AB12" t="str" cm="1">
        <f t="array" ref="AB12:AB31">_xlfn.UNIQUE(_xlfn._xlws.FILTER(D:D,V:V="Yes"))</f>
        <v>Paul Baker</v>
      </c>
    </row>
    <row r="13" spans="1:42" ht="15" thickBot="1" x14ac:dyDescent="0.35">
      <c r="A13" s="3" t="s">
        <v>70</v>
      </c>
      <c r="B13" s="8">
        <v>45408</v>
      </c>
      <c r="C13" s="4" t="s">
        <v>38</v>
      </c>
      <c r="D13" s="4" t="s">
        <v>39</v>
      </c>
      <c r="E13" s="4" t="s">
        <v>44</v>
      </c>
      <c r="F13" s="4" t="s">
        <v>45</v>
      </c>
      <c r="G13" s="4" t="s">
        <v>46</v>
      </c>
      <c r="H13" s="38">
        <v>5</v>
      </c>
      <c r="I13" s="4">
        <v>149.99</v>
      </c>
      <c r="J13" s="4" t="s">
        <v>57</v>
      </c>
      <c r="K13" s="4" t="s">
        <v>40</v>
      </c>
      <c r="L13" s="4" t="s">
        <v>22</v>
      </c>
      <c r="M13" s="8">
        <v>44830</v>
      </c>
      <c r="N13" s="34">
        <v>749.95</v>
      </c>
      <c r="O13" s="4">
        <f ca="1">DATEDIF(Table1[[#This Row],[Customer_Since]],TODAY(),"Y")</f>
        <v>3</v>
      </c>
      <c r="P13" s="12">
        <f ca="1">DATEDIF(Table1[[#This Row],[Date]],TODAY(),"M")</f>
        <v>22</v>
      </c>
      <c r="Q13" s="12" t="str">
        <f ca="1">IF(Table1[[#This Row],[Months_Since_Purchase]]&gt;12,"Inactive","Active")</f>
        <v>Inactive</v>
      </c>
      <c r="R13" s="14">
        <f>EOMONTH(Table1[[#This Row],[Date]],0)</f>
        <v>45412</v>
      </c>
      <c r="S13" s="13" t="str">
        <f>IF(Table1[[#This Row],[Total_Amount]]&gt;=700,"High",
 IF(Table1[[#This Row],[Total_Amount]]&gt;=300,"Medium","Low"))</f>
        <v>High</v>
      </c>
      <c r="T13" s="13">
        <f>Table1[[#This Row],[Total_Amount]]*(1-$AC$8)*0.3</f>
        <v>163.60703298847483</v>
      </c>
      <c r="U13" s="13">
        <f t="shared" si="0"/>
        <v>4309.8099999999995</v>
      </c>
      <c r="V13" s="13" t="str">
        <f>IF(Table1[[#This Row],[Customer_Total_Spend]]&gt;5000,"Yes","No")</f>
        <v>No</v>
      </c>
      <c r="W13" s="13">
        <f t="shared" si="1"/>
        <v>35</v>
      </c>
      <c r="AB13" t="str">
        <v>Joseph Jackson</v>
      </c>
    </row>
    <row r="14" spans="1:42" ht="15" thickBot="1" x14ac:dyDescent="0.35">
      <c r="A14" s="3" t="s">
        <v>71</v>
      </c>
      <c r="B14" s="8">
        <v>45408</v>
      </c>
      <c r="C14" s="4" t="s">
        <v>72</v>
      </c>
      <c r="D14" s="4" t="s">
        <v>73</v>
      </c>
      <c r="E14" s="4" t="s">
        <v>44</v>
      </c>
      <c r="F14" s="4" t="s">
        <v>45</v>
      </c>
      <c r="G14" s="4" t="s">
        <v>46</v>
      </c>
      <c r="H14" s="38">
        <v>3</v>
      </c>
      <c r="I14" s="4">
        <v>149.99</v>
      </c>
      <c r="J14" s="4" t="s">
        <v>20</v>
      </c>
      <c r="K14" s="4" t="s">
        <v>40</v>
      </c>
      <c r="L14" s="4" t="s">
        <v>27</v>
      </c>
      <c r="M14" s="8">
        <v>44806</v>
      </c>
      <c r="N14" s="34">
        <v>449.97</v>
      </c>
      <c r="O14" s="4">
        <f ca="1">DATEDIF(Table1[[#This Row],[Customer_Since]],TODAY(),"Y")</f>
        <v>3</v>
      </c>
      <c r="P14" s="12">
        <f ca="1">DATEDIF(Table1[[#This Row],[Date]],TODAY(),"M")</f>
        <v>22</v>
      </c>
      <c r="Q14" s="12" t="str">
        <f ca="1">IF(Table1[[#This Row],[Months_Since_Purchase]]&gt;12,"Inactive","Active")</f>
        <v>Inactive</v>
      </c>
      <c r="R14" s="14">
        <f>EOMONTH(Table1[[#This Row],[Date]],0)</f>
        <v>45412</v>
      </c>
      <c r="S14" s="13" t="str">
        <f>IF(Table1[[#This Row],[Total_Amount]]&gt;=700,"High",
 IF(Table1[[#This Row],[Total_Amount]]&gt;=300,"Medium","Low"))</f>
        <v>Medium</v>
      </c>
      <c r="T14" s="13">
        <f>Table1[[#This Row],[Total_Amount]]*(1-$AC$8)*0.3</f>
        <v>98.164219793084911</v>
      </c>
      <c r="U14" s="13">
        <f t="shared" si="0"/>
        <v>5949.85</v>
      </c>
      <c r="V14" s="13" t="str">
        <f>IF(Table1[[#This Row],[Customer_Total_Spend]]&gt;5000,"Yes","No")</f>
        <v>Yes</v>
      </c>
      <c r="W14" s="13">
        <f t="shared" si="1"/>
        <v>35</v>
      </c>
      <c r="AB14" t="str">
        <v>Michael Brown</v>
      </c>
    </row>
    <row r="15" spans="1:42" ht="15" thickBot="1" x14ac:dyDescent="0.35">
      <c r="A15" s="3" t="s">
        <v>74</v>
      </c>
      <c r="B15" s="8">
        <v>45409</v>
      </c>
      <c r="C15" s="4" t="s">
        <v>75</v>
      </c>
      <c r="D15" s="4" t="s">
        <v>76</v>
      </c>
      <c r="E15" s="4" t="s">
        <v>31</v>
      </c>
      <c r="F15" s="4" t="s">
        <v>32</v>
      </c>
      <c r="G15" s="4" t="s">
        <v>33</v>
      </c>
      <c r="H15" s="38">
        <v>3</v>
      </c>
      <c r="I15" s="4">
        <v>59.99</v>
      </c>
      <c r="J15" s="4" t="s">
        <v>26</v>
      </c>
      <c r="K15" s="4" t="s">
        <v>40</v>
      </c>
      <c r="L15" s="4" t="s">
        <v>36</v>
      </c>
      <c r="M15" s="8">
        <v>45351</v>
      </c>
      <c r="N15" s="34">
        <v>179.97</v>
      </c>
      <c r="O15" s="4">
        <f ca="1">DATEDIF(Table1[[#This Row],[Customer_Since]],TODAY(),"Y")</f>
        <v>2</v>
      </c>
      <c r="P15" s="12">
        <f ca="1">DATEDIF(Table1[[#This Row],[Date]],TODAY(),"M")</f>
        <v>22</v>
      </c>
      <c r="Q15" s="12" t="str">
        <f ca="1">IF(Table1[[#This Row],[Months_Since_Purchase]]&gt;12,"Inactive","Active")</f>
        <v>Inactive</v>
      </c>
      <c r="R15" s="14">
        <f>EOMONTH(Table1[[#This Row],[Date]],0)</f>
        <v>45412</v>
      </c>
      <c r="S15" s="13" t="str">
        <f>IF(Table1[[#This Row],[Total_Amount]]&gt;=700,"High",
 IF(Table1[[#This Row],[Total_Amount]]&gt;=300,"Medium","Low"))</f>
        <v>Low</v>
      </c>
      <c r="T15" s="13">
        <f>Table1[[#This Row],[Total_Amount]]*(1-$AC$8)*0.3</f>
        <v>39.261761086653529</v>
      </c>
      <c r="U15" s="13">
        <f t="shared" si="0"/>
        <v>479.91999999999996</v>
      </c>
      <c r="V15" s="13" t="str">
        <f>IF(Table1[[#This Row],[Customer_Total_Spend]]&gt;5000,"Yes","No")</f>
        <v>No</v>
      </c>
      <c r="W15" s="13">
        <f t="shared" si="1"/>
        <v>29</v>
      </c>
      <c r="AB15" t="str">
        <v>Dorothy Nelson</v>
      </c>
    </row>
    <row r="16" spans="1:42" ht="15" thickBot="1" x14ac:dyDescent="0.35">
      <c r="A16" s="3" t="s">
        <v>77</v>
      </c>
      <c r="B16" s="8">
        <v>45409</v>
      </c>
      <c r="C16" s="4" t="s">
        <v>78</v>
      </c>
      <c r="D16" s="4" t="s">
        <v>79</v>
      </c>
      <c r="E16" s="4" t="s">
        <v>80</v>
      </c>
      <c r="F16" s="4" t="s">
        <v>81</v>
      </c>
      <c r="G16" s="4" t="s">
        <v>19</v>
      </c>
      <c r="H16" s="38">
        <v>3</v>
      </c>
      <c r="I16" s="4">
        <v>699.99</v>
      </c>
      <c r="J16" s="4" t="s">
        <v>26</v>
      </c>
      <c r="K16" s="4" t="s">
        <v>50</v>
      </c>
      <c r="L16" s="4" t="s">
        <v>22</v>
      </c>
      <c r="M16" s="8">
        <v>44577</v>
      </c>
      <c r="N16" s="34">
        <v>2099.9699999999998</v>
      </c>
      <c r="O16" s="4">
        <f ca="1">DATEDIF(Table1[[#This Row],[Customer_Since]],TODAY(),"Y")</f>
        <v>4</v>
      </c>
      <c r="P16" s="12">
        <f ca="1">DATEDIF(Table1[[#This Row],[Date]],TODAY(),"M")</f>
        <v>22</v>
      </c>
      <c r="Q16" s="12" t="str">
        <f ca="1">IF(Table1[[#This Row],[Months_Since_Purchase]]&gt;12,"Inactive","Active")</f>
        <v>Inactive</v>
      </c>
      <c r="R16" s="14">
        <f>EOMONTH(Table1[[#This Row],[Date]],0)</f>
        <v>45412</v>
      </c>
      <c r="S16" s="13" t="str">
        <f>IF(Table1[[#This Row],[Total_Amount]]&gt;=700,"High",
 IF(Table1[[#This Row],[Total_Amount]]&gt;=300,"Medium","Low"))</f>
        <v>High</v>
      </c>
      <c r="T16" s="13">
        <f>Table1[[#This Row],[Total_Amount]]*(1-$AC$8)*0.3</f>
        <v>458.12368966572097</v>
      </c>
      <c r="U16" s="13">
        <f t="shared" si="0"/>
        <v>4199.9399999999996</v>
      </c>
      <c r="V16" s="13" t="str">
        <f>IF(Table1[[#This Row],[Customer_Total_Spend]]&gt;5000,"Yes","No")</f>
        <v>No</v>
      </c>
      <c r="W16" s="13">
        <f t="shared" si="1"/>
        <v>31</v>
      </c>
      <c r="AB16" t="str">
        <v>Charles Allen</v>
      </c>
    </row>
    <row r="17" spans="1:28" ht="15" thickBot="1" x14ac:dyDescent="0.35">
      <c r="A17" s="3" t="s">
        <v>82</v>
      </c>
      <c r="B17" s="8">
        <v>45409</v>
      </c>
      <c r="C17" s="4" t="s">
        <v>83</v>
      </c>
      <c r="D17" s="4" t="s">
        <v>84</v>
      </c>
      <c r="E17" s="4" t="s">
        <v>61</v>
      </c>
      <c r="F17" s="4" t="s">
        <v>62</v>
      </c>
      <c r="G17" s="4" t="s">
        <v>19</v>
      </c>
      <c r="H17" s="38">
        <v>1</v>
      </c>
      <c r="I17" s="4">
        <v>899.99</v>
      </c>
      <c r="J17" s="4" t="s">
        <v>57</v>
      </c>
      <c r="K17" s="4" t="s">
        <v>40</v>
      </c>
      <c r="L17" s="4" t="s">
        <v>36</v>
      </c>
      <c r="M17" s="8">
        <v>44920</v>
      </c>
      <c r="N17" s="34">
        <v>899.99</v>
      </c>
      <c r="O17" s="4">
        <f ca="1">DATEDIF(Table1[[#This Row],[Customer_Since]],TODAY(),"Y")</f>
        <v>3</v>
      </c>
      <c r="P17" s="12">
        <f ca="1">DATEDIF(Table1[[#This Row],[Date]],TODAY(),"M")</f>
        <v>22</v>
      </c>
      <c r="Q17" s="12" t="str">
        <f ca="1">IF(Table1[[#This Row],[Months_Since_Purchase]]&gt;12,"Inactive","Active")</f>
        <v>Inactive</v>
      </c>
      <c r="R17" s="14">
        <f>EOMONTH(Table1[[#This Row],[Date]],0)</f>
        <v>45412</v>
      </c>
      <c r="S17" s="13" t="str">
        <f>IF(Table1[[#This Row],[Total_Amount]]&gt;=700,"High",
 IF(Table1[[#This Row],[Total_Amount]]&gt;=300,"Medium","Low"))</f>
        <v>High</v>
      </c>
      <c r="T17" s="13">
        <f>Table1[[#This Row],[Total_Amount]]*(1-$AC$8)*0.3</f>
        <v>196.33934744889322</v>
      </c>
      <c r="U17" s="13">
        <f t="shared" si="0"/>
        <v>3779.93</v>
      </c>
      <c r="V17" s="13" t="str">
        <f>IF(Table1[[#This Row],[Customer_Total_Spend]]&gt;5000,"Yes","No")</f>
        <v>No</v>
      </c>
      <c r="W17" s="13">
        <f t="shared" si="1"/>
        <v>24</v>
      </c>
      <c r="AB17" t="str">
        <v>Karen Hill</v>
      </c>
    </row>
    <row r="18" spans="1:28" ht="15" thickBot="1" x14ac:dyDescent="0.35">
      <c r="A18" s="3" t="s">
        <v>85</v>
      </c>
      <c r="B18" s="8">
        <v>45410</v>
      </c>
      <c r="C18" s="4" t="s">
        <v>86</v>
      </c>
      <c r="D18" s="4" t="s">
        <v>87</v>
      </c>
      <c r="E18" s="4" t="s">
        <v>44</v>
      </c>
      <c r="F18" s="4" t="s">
        <v>45</v>
      </c>
      <c r="G18" s="4" t="s">
        <v>46</v>
      </c>
      <c r="H18" s="38">
        <v>4</v>
      </c>
      <c r="I18" s="4">
        <v>149.99</v>
      </c>
      <c r="J18" s="4" t="s">
        <v>57</v>
      </c>
      <c r="K18" s="4" t="s">
        <v>40</v>
      </c>
      <c r="L18" s="4" t="s">
        <v>27</v>
      </c>
      <c r="M18" s="8">
        <v>45374</v>
      </c>
      <c r="N18" s="34">
        <v>599.96</v>
      </c>
      <c r="O18" s="4">
        <f ca="1">DATEDIF(Table1[[#This Row],[Customer_Since]],TODAY(),"Y")</f>
        <v>1</v>
      </c>
      <c r="P18" s="12">
        <f ca="1">DATEDIF(Table1[[#This Row],[Date]],TODAY(),"M")</f>
        <v>22</v>
      </c>
      <c r="Q18" s="12" t="str">
        <f ca="1">IF(Table1[[#This Row],[Months_Since_Purchase]]&gt;12,"Inactive","Active")</f>
        <v>Inactive</v>
      </c>
      <c r="R18" s="14">
        <f>EOMONTH(Table1[[#This Row],[Date]],0)</f>
        <v>45412</v>
      </c>
      <c r="S18" s="13" t="str">
        <f>IF(Table1[[#This Row],[Total_Amount]]&gt;=700,"High",
 IF(Table1[[#This Row],[Total_Amount]]&gt;=300,"Medium","Low"))</f>
        <v>Medium</v>
      </c>
      <c r="T18" s="13">
        <f>Table1[[#This Row],[Total_Amount]]*(1-$AC$8)*0.3</f>
        <v>130.88562639077986</v>
      </c>
      <c r="U18" s="13">
        <f t="shared" si="0"/>
        <v>15659.65</v>
      </c>
      <c r="V18" s="13" t="str">
        <f>IF(Table1[[#This Row],[Customer_Total_Spend]]&gt;5000,"Yes","No")</f>
        <v>Yes</v>
      </c>
      <c r="W18" s="13">
        <f t="shared" si="1"/>
        <v>35</v>
      </c>
      <c r="AB18" t="str">
        <v>Peter Richardson</v>
      </c>
    </row>
    <row r="19" spans="1:28" ht="15" thickBot="1" x14ac:dyDescent="0.35">
      <c r="A19" s="3" t="s">
        <v>88</v>
      </c>
      <c r="B19" s="8">
        <v>45410</v>
      </c>
      <c r="C19" s="4" t="s">
        <v>89</v>
      </c>
      <c r="D19" s="4" t="s">
        <v>90</v>
      </c>
      <c r="E19" s="4" t="s">
        <v>80</v>
      </c>
      <c r="F19" s="4" t="s">
        <v>81</v>
      </c>
      <c r="G19" s="4" t="s">
        <v>19</v>
      </c>
      <c r="H19" s="38">
        <v>2</v>
      </c>
      <c r="I19" s="4">
        <v>699.99</v>
      </c>
      <c r="J19" s="4" t="s">
        <v>20</v>
      </c>
      <c r="K19" s="4" t="s">
        <v>40</v>
      </c>
      <c r="L19" s="4" t="s">
        <v>22</v>
      </c>
      <c r="M19" s="8">
        <v>44781</v>
      </c>
      <c r="N19" s="34">
        <v>1399.98</v>
      </c>
      <c r="O19" s="4">
        <f ca="1">DATEDIF(Table1[[#This Row],[Customer_Since]],TODAY(),"Y")</f>
        <v>3</v>
      </c>
      <c r="P19" s="12">
        <f ca="1">DATEDIF(Table1[[#This Row],[Date]],TODAY(),"M")</f>
        <v>22</v>
      </c>
      <c r="Q19" s="12" t="str">
        <f ca="1">IF(Table1[[#This Row],[Months_Since_Purchase]]&gt;12,"Inactive","Active")</f>
        <v>Inactive</v>
      </c>
      <c r="R19" s="14">
        <f>EOMONTH(Table1[[#This Row],[Date]],0)</f>
        <v>45412</v>
      </c>
      <c r="S19" s="13" t="str">
        <f>IF(Table1[[#This Row],[Total_Amount]]&gt;=700,"High",
 IF(Table1[[#This Row],[Total_Amount]]&gt;=300,"Medium","Low"))</f>
        <v>High</v>
      </c>
      <c r="T19" s="13">
        <f>Table1[[#This Row],[Total_Amount]]*(1-$AC$8)*0.3</f>
        <v>305.41579311048065</v>
      </c>
      <c r="U19" s="13">
        <f t="shared" si="0"/>
        <v>1909.93</v>
      </c>
      <c r="V19" s="13" t="str">
        <f>IF(Table1[[#This Row],[Customer_Total_Spend]]&gt;5000,"Yes","No")</f>
        <v>No</v>
      </c>
      <c r="W19" s="13">
        <f t="shared" si="1"/>
        <v>31</v>
      </c>
      <c r="AB19" t="str">
        <v>Mark Carter</v>
      </c>
    </row>
    <row r="20" spans="1:28" ht="15" thickBot="1" x14ac:dyDescent="0.35">
      <c r="A20" s="3" t="s">
        <v>91</v>
      </c>
      <c r="B20" s="8">
        <v>45410</v>
      </c>
      <c r="C20" s="4" t="s">
        <v>86</v>
      </c>
      <c r="D20" s="4" t="s">
        <v>87</v>
      </c>
      <c r="E20" s="4" t="s">
        <v>61</v>
      </c>
      <c r="F20" s="4" t="s">
        <v>62</v>
      </c>
      <c r="G20" s="4" t="s">
        <v>19</v>
      </c>
      <c r="H20" s="38">
        <v>4</v>
      </c>
      <c r="I20" s="4">
        <v>899.99</v>
      </c>
      <c r="J20" s="4" t="s">
        <v>26</v>
      </c>
      <c r="K20" s="4" t="s">
        <v>50</v>
      </c>
      <c r="L20" s="4" t="s">
        <v>36</v>
      </c>
      <c r="M20" s="8">
        <v>45327</v>
      </c>
      <c r="N20" s="34">
        <v>3599.96</v>
      </c>
      <c r="O20" s="4">
        <f ca="1">DATEDIF(Table1[[#This Row],[Customer_Since]],TODAY(),"Y")</f>
        <v>2</v>
      </c>
      <c r="P20" s="12">
        <f ca="1">DATEDIF(Table1[[#This Row],[Date]],TODAY(),"M")</f>
        <v>22</v>
      </c>
      <c r="Q20" s="12" t="str">
        <f ca="1">IF(Table1[[#This Row],[Months_Since_Purchase]]&gt;12,"Inactive","Active")</f>
        <v>Inactive</v>
      </c>
      <c r="R20" s="14">
        <f>EOMONTH(Table1[[#This Row],[Date]],0)</f>
        <v>45412</v>
      </c>
      <c r="S20" s="13" t="str">
        <f>IF(Table1[[#This Row],[Total_Amount]]&gt;=700,"High",
 IF(Table1[[#This Row],[Total_Amount]]&gt;=300,"Medium","Low"))</f>
        <v>High</v>
      </c>
      <c r="T20" s="13">
        <f>Table1[[#This Row],[Total_Amount]]*(1-$AC$8)*0.3</f>
        <v>785.35738979557289</v>
      </c>
      <c r="U20" s="13">
        <f t="shared" si="0"/>
        <v>15659.65</v>
      </c>
      <c r="V20" s="13" t="str">
        <f>IF(Table1[[#This Row],[Customer_Total_Spend]]&gt;5000,"Yes","No")</f>
        <v>Yes</v>
      </c>
      <c r="W20" s="13">
        <f t="shared" si="1"/>
        <v>24</v>
      </c>
      <c r="AB20" t="str">
        <v>Barbara Young</v>
      </c>
    </row>
    <row r="21" spans="1:28" ht="15" thickBot="1" x14ac:dyDescent="0.35">
      <c r="A21" s="3" t="s">
        <v>92</v>
      </c>
      <c r="B21" s="8">
        <v>45410</v>
      </c>
      <c r="C21" s="4" t="s">
        <v>93</v>
      </c>
      <c r="D21" s="4" t="s">
        <v>94</v>
      </c>
      <c r="E21" s="4" t="s">
        <v>17</v>
      </c>
      <c r="F21" s="4" t="s">
        <v>18</v>
      </c>
      <c r="G21" s="4" t="s">
        <v>19</v>
      </c>
      <c r="H21" s="38">
        <v>3</v>
      </c>
      <c r="I21" s="4">
        <v>249.99</v>
      </c>
      <c r="J21" s="4" t="s">
        <v>26</v>
      </c>
      <c r="K21" s="4" t="s">
        <v>40</v>
      </c>
      <c r="L21" s="4" t="s">
        <v>27</v>
      </c>
      <c r="M21" s="8">
        <v>45224</v>
      </c>
      <c r="N21" s="34">
        <v>749.97</v>
      </c>
      <c r="O21" s="4">
        <f ca="1">DATEDIF(Table1[[#This Row],[Customer_Since]],TODAY(),"Y")</f>
        <v>2</v>
      </c>
      <c r="P21" s="12">
        <f ca="1">DATEDIF(Table1[[#This Row],[Date]],TODAY(),"M")</f>
        <v>22</v>
      </c>
      <c r="Q21" s="12" t="str">
        <f ca="1">IF(Table1[[#This Row],[Months_Since_Purchase]]&gt;12,"Inactive","Active")</f>
        <v>Inactive</v>
      </c>
      <c r="R21" s="14">
        <f>EOMONTH(Table1[[#This Row],[Date]],0)</f>
        <v>45412</v>
      </c>
      <c r="S21" s="13" t="str">
        <f>IF(Table1[[#This Row],[Total_Amount]]&gt;=700,"High",
 IF(Table1[[#This Row],[Total_Amount]]&gt;=300,"Medium","Low"))</f>
        <v>High</v>
      </c>
      <c r="T21" s="13">
        <f>Table1[[#This Row],[Total_Amount]]*(1-$AC$8)*0.3</f>
        <v>163.6113961335642</v>
      </c>
      <c r="U21" s="13">
        <f t="shared" si="0"/>
        <v>4789.7900000000009</v>
      </c>
      <c r="V21" s="13" t="str">
        <f>IF(Table1[[#This Row],[Customer_Total_Spend]]&gt;5000,"Yes","No")</f>
        <v>No</v>
      </c>
      <c r="W21" s="13">
        <f t="shared" si="1"/>
        <v>26</v>
      </c>
      <c r="AB21" t="str">
        <v>Patricia Moore</v>
      </c>
    </row>
    <row r="22" spans="1:28" ht="15" thickBot="1" x14ac:dyDescent="0.35">
      <c r="A22" s="3" t="s">
        <v>95</v>
      </c>
      <c r="B22" s="8">
        <v>45412</v>
      </c>
      <c r="C22" s="4" t="s">
        <v>96</v>
      </c>
      <c r="D22" s="4" t="s">
        <v>97</v>
      </c>
      <c r="E22" s="4" t="s">
        <v>80</v>
      </c>
      <c r="F22" s="4" t="s">
        <v>81</v>
      </c>
      <c r="G22" s="4" t="s">
        <v>19</v>
      </c>
      <c r="H22" s="38">
        <v>5</v>
      </c>
      <c r="I22" s="4">
        <v>699.99</v>
      </c>
      <c r="J22" s="4" t="s">
        <v>20</v>
      </c>
      <c r="K22" s="4" t="s">
        <v>50</v>
      </c>
      <c r="L22" s="4" t="s">
        <v>22</v>
      </c>
      <c r="M22" s="8">
        <v>45167</v>
      </c>
      <c r="N22" s="34">
        <v>3499.95</v>
      </c>
      <c r="O22" s="4">
        <f ca="1">DATEDIF(Table1[[#This Row],[Customer_Since]],TODAY(),"Y")</f>
        <v>2</v>
      </c>
      <c r="P22" s="12">
        <f ca="1">DATEDIF(Table1[[#This Row],[Date]],TODAY(),"M")</f>
        <v>22</v>
      </c>
      <c r="Q22" s="12" t="str">
        <f ca="1">IF(Table1[[#This Row],[Months_Since_Purchase]]&gt;12,"Inactive","Active")</f>
        <v>Inactive</v>
      </c>
      <c r="R22" s="14">
        <f>EOMONTH(Table1[[#This Row],[Date]],0)</f>
        <v>45412</v>
      </c>
      <c r="S22" s="13" t="str">
        <f>IF(Table1[[#This Row],[Total_Amount]]&gt;=700,"High",
 IF(Table1[[#This Row],[Total_Amount]]&gt;=300,"Medium","Low"))</f>
        <v>High</v>
      </c>
      <c r="T22" s="13">
        <f>Table1[[#This Row],[Total_Amount]]*(1-$AC$8)*0.3</f>
        <v>763.53948277620168</v>
      </c>
      <c r="U22" s="13">
        <f t="shared" si="0"/>
        <v>10649.8</v>
      </c>
      <c r="V22" s="13" t="str">
        <f>IF(Table1[[#This Row],[Customer_Total_Spend]]&gt;5000,"Yes","No")</f>
        <v>Yes</v>
      </c>
      <c r="W22" s="13">
        <f t="shared" si="1"/>
        <v>31</v>
      </c>
      <c r="AB22" t="str">
        <v>Helen Roberts</v>
      </c>
    </row>
    <row r="23" spans="1:28" ht="15" thickBot="1" x14ac:dyDescent="0.35">
      <c r="A23" s="3" t="s">
        <v>98</v>
      </c>
      <c r="B23" s="8">
        <v>45413</v>
      </c>
      <c r="C23" s="4" t="s">
        <v>99</v>
      </c>
      <c r="D23" s="4" t="s">
        <v>100</v>
      </c>
      <c r="E23" s="4" t="s">
        <v>80</v>
      </c>
      <c r="F23" s="4" t="s">
        <v>81</v>
      </c>
      <c r="G23" s="4" t="s">
        <v>19</v>
      </c>
      <c r="H23" s="38">
        <v>4</v>
      </c>
      <c r="I23" s="4">
        <v>699.99</v>
      </c>
      <c r="J23" s="4" t="s">
        <v>20</v>
      </c>
      <c r="K23" s="4" t="s">
        <v>63</v>
      </c>
      <c r="L23" s="4" t="s">
        <v>36</v>
      </c>
      <c r="M23" s="8">
        <v>44409</v>
      </c>
      <c r="N23" s="34">
        <v>2799.96</v>
      </c>
      <c r="O23" s="4">
        <f ca="1">DATEDIF(Table1[[#This Row],[Customer_Since]],TODAY(),"Y")</f>
        <v>4</v>
      </c>
      <c r="P23" s="12">
        <f ca="1">DATEDIF(Table1[[#This Row],[Date]],TODAY(),"M")</f>
        <v>22</v>
      </c>
      <c r="Q23" s="12" t="str">
        <f ca="1">IF(Table1[[#This Row],[Months_Since_Purchase]]&gt;12,"Inactive","Active")</f>
        <v>Inactive</v>
      </c>
      <c r="R23" s="14">
        <f>EOMONTH(Table1[[#This Row],[Date]],0)</f>
        <v>45443</v>
      </c>
      <c r="S23" s="13" t="str">
        <f>IF(Table1[[#This Row],[Total_Amount]]&gt;=700,"High",
 IF(Table1[[#This Row],[Total_Amount]]&gt;=300,"Medium","Low"))</f>
        <v>High</v>
      </c>
      <c r="T23" s="13">
        <f>Table1[[#This Row],[Total_Amount]]*(1-$AC$8)*0.3</f>
        <v>610.8315862209613</v>
      </c>
      <c r="U23" s="13">
        <f t="shared" si="0"/>
        <v>9799.73</v>
      </c>
      <c r="V23" s="13" t="str">
        <f>IF(Table1[[#This Row],[Customer_Total_Spend]]&gt;5000,"Yes","No")</f>
        <v>Yes</v>
      </c>
      <c r="W23" s="13">
        <f t="shared" si="1"/>
        <v>31</v>
      </c>
      <c r="AB23" t="str">
        <v>Edward Mitchell</v>
      </c>
    </row>
    <row r="24" spans="1:28" ht="15" thickBot="1" x14ac:dyDescent="0.35">
      <c r="A24" s="3" t="s">
        <v>101</v>
      </c>
      <c r="B24" s="8">
        <v>45415</v>
      </c>
      <c r="C24" s="4" t="s">
        <v>102</v>
      </c>
      <c r="D24" s="4" t="s">
        <v>103</v>
      </c>
      <c r="E24" s="4" t="s">
        <v>17</v>
      </c>
      <c r="F24" s="4" t="s">
        <v>18</v>
      </c>
      <c r="G24" s="4" t="s">
        <v>19</v>
      </c>
      <c r="H24" s="38">
        <v>4</v>
      </c>
      <c r="I24" s="4">
        <v>249.99</v>
      </c>
      <c r="J24" s="4" t="s">
        <v>34</v>
      </c>
      <c r="K24" s="4" t="s">
        <v>40</v>
      </c>
      <c r="L24" s="4" t="s">
        <v>36</v>
      </c>
      <c r="M24" s="8">
        <v>44468</v>
      </c>
      <c r="N24" s="34">
        <v>999.96</v>
      </c>
      <c r="O24" s="4">
        <f ca="1">DATEDIF(Table1[[#This Row],[Customer_Since]],TODAY(),"Y")</f>
        <v>4</v>
      </c>
      <c r="P24" s="12">
        <f ca="1">DATEDIF(Table1[[#This Row],[Date]],TODAY(),"M")</f>
        <v>22</v>
      </c>
      <c r="Q24" s="12" t="str">
        <f ca="1">IF(Table1[[#This Row],[Months_Since_Purchase]]&gt;12,"Inactive","Active")</f>
        <v>Inactive</v>
      </c>
      <c r="R24" s="14">
        <f>EOMONTH(Table1[[#This Row],[Date]],0)</f>
        <v>45443</v>
      </c>
      <c r="S24" s="13" t="str">
        <f>IF(Table1[[#This Row],[Total_Amount]]&gt;=700,"High",
 IF(Table1[[#This Row],[Total_Amount]]&gt;=300,"Medium","Low"))</f>
        <v>High</v>
      </c>
      <c r="T24" s="13">
        <f>Table1[[#This Row],[Total_Amount]]*(1-$AC$8)*0.3</f>
        <v>218.14852817808563</v>
      </c>
      <c r="U24" s="13">
        <f t="shared" si="0"/>
        <v>3769.8300000000004</v>
      </c>
      <c r="V24" s="13" t="str">
        <f>IF(Table1[[#This Row],[Customer_Total_Spend]]&gt;5000,"Yes","No")</f>
        <v>No</v>
      </c>
      <c r="W24" s="13">
        <f t="shared" si="1"/>
        <v>26</v>
      </c>
      <c r="AB24" t="str">
        <v>Harry Morgan</v>
      </c>
    </row>
    <row r="25" spans="1:28" ht="15" thickBot="1" x14ac:dyDescent="0.35">
      <c r="A25" s="3" t="s">
        <v>104</v>
      </c>
      <c r="B25" s="8">
        <v>45416</v>
      </c>
      <c r="C25" s="4" t="s">
        <v>86</v>
      </c>
      <c r="D25" s="4" t="s">
        <v>87</v>
      </c>
      <c r="E25" s="4" t="s">
        <v>105</v>
      </c>
      <c r="F25" s="4" t="s">
        <v>106</v>
      </c>
      <c r="G25" s="4" t="s">
        <v>46</v>
      </c>
      <c r="H25" s="38">
        <v>4</v>
      </c>
      <c r="I25" s="4">
        <v>299.99</v>
      </c>
      <c r="J25" s="4" t="s">
        <v>20</v>
      </c>
      <c r="K25" s="4" t="s">
        <v>50</v>
      </c>
      <c r="L25" s="4" t="s">
        <v>27</v>
      </c>
      <c r="M25" s="8">
        <v>44716</v>
      </c>
      <c r="N25" s="34">
        <v>1199.96</v>
      </c>
      <c r="O25" s="4">
        <f ca="1">DATEDIF(Table1[[#This Row],[Customer_Since]],TODAY(),"Y")</f>
        <v>3</v>
      </c>
      <c r="P25" s="12">
        <f ca="1">DATEDIF(Table1[[#This Row],[Date]],TODAY(),"M")</f>
        <v>22</v>
      </c>
      <c r="Q25" s="12" t="str">
        <f ca="1">IF(Table1[[#This Row],[Months_Since_Purchase]]&gt;12,"Inactive","Active")</f>
        <v>Inactive</v>
      </c>
      <c r="R25" s="14">
        <f>EOMONTH(Table1[[#This Row],[Date]],0)</f>
        <v>45443</v>
      </c>
      <c r="S25" s="13" t="str">
        <f>IF(Table1[[#This Row],[Total_Amount]]&gt;=700,"High",
 IF(Table1[[#This Row],[Total_Amount]]&gt;=300,"Medium","Low"))</f>
        <v>High</v>
      </c>
      <c r="T25" s="13">
        <f>Table1[[#This Row],[Total_Amount]]*(1-$AC$8)*0.3</f>
        <v>261.77997907173847</v>
      </c>
      <c r="U25" s="13">
        <f t="shared" si="0"/>
        <v>15659.65</v>
      </c>
      <c r="V25" s="13" t="str">
        <f>IF(Table1[[#This Row],[Customer_Total_Spend]]&gt;5000,"Yes","No")</f>
        <v>Yes</v>
      </c>
      <c r="W25" s="13">
        <f t="shared" si="1"/>
        <v>26</v>
      </c>
      <c r="AB25" t="str">
        <v>Daniel King</v>
      </c>
    </row>
    <row r="26" spans="1:28" ht="15" thickBot="1" x14ac:dyDescent="0.35">
      <c r="A26" s="3" t="s">
        <v>107</v>
      </c>
      <c r="B26" s="8">
        <v>45422</v>
      </c>
      <c r="C26" s="4" t="s">
        <v>108</v>
      </c>
      <c r="D26" s="4" t="s">
        <v>109</v>
      </c>
      <c r="E26" s="4" t="s">
        <v>17</v>
      </c>
      <c r="F26" s="4" t="s">
        <v>18</v>
      </c>
      <c r="G26" s="4" t="s">
        <v>19</v>
      </c>
      <c r="H26" s="38">
        <v>5</v>
      </c>
      <c r="I26" s="4">
        <v>249.99</v>
      </c>
      <c r="J26" s="4" t="s">
        <v>26</v>
      </c>
      <c r="K26" s="4" t="s">
        <v>50</v>
      </c>
      <c r="L26" s="4" t="s">
        <v>36</v>
      </c>
      <c r="M26" s="8">
        <v>44525</v>
      </c>
      <c r="N26" s="34">
        <v>1249.95</v>
      </c>
      <c r="O26" s="4">
        <f ca="1">DATEDIF(Table1[[#This Row],[Customer_Since]],TODAY(),"Y")</f>
        <v>4</v>
      </c>
      <c r="P26" s="12">
        <f ca="1">DATEDIF(Table1[[#This Row],[Date]],TODAY(),"M")</f>
        <v>21</v>
      </c>
      <c r="Q26" s="12" t="str">
        <f ca="1">IF(Table1[[#This Row],[Months_Since_Purchase]]&gt;12,"Inactive","Active")</f>
        <v>Inactive</v>
      </c>
      <c r="R26" s="14">
        <f>EOMONTH(Table1[[#This Row],[Date]],0)</f>
        <v>45443</v>
      </c>
      <c r="S26" s="13" t="str">
        <f>IF(Table1[[#This Row],[Total_Amount]]&gt;=700,"High",
 IF(Table1[[#This Row],[Total_Amount]]&gt;=300,"Medium","Low"))</f>
        <v>High</v>
      </c>
      <c r="T26" s="13">
        <f>Table1[[#This Row],[Total_Amount]]*(1-$AC$8)*0.3</f>
        <v>272.685660222607</v>
      </c>
      <c r="U26" s="13">
        <f t="shared" si="0"/>
        <v>4189.7700000000004</v>
      </c>
      <c r="V26" s="13" t="str">
        <f>IF(Table1[[#This Row],[Customer_Total_Spend]]&gt;5000,"Yes","No")</f>
        <v>No</v>
      </c>
      <c r="W26" s="13">
        <f t="shared" si="1"/>
        <v>26</v>
      </c>
      <c r="AB26" t="str">
        <v>Sharon Butler</v>
      </c>
    </row>
    <row r="27" spans="1:28" ht="15" thickBot="1" x14ac:dyDescent="0.35">
      <c r="A27" s="3" t="s">
        <v>110</v>
      </c>
      <c r="B27" s="8">
        <v>45424</v>
      </c>
      <c r="C27" s="4" t="s">
        <v>68</v>
      </c>
      <c r="D27" s="4" t="s">
        <v>69</v>
      </c>
      <c r="E27" s="4" t="s">
        <v>105</v>
      </c>
      <c r="F27" s="4" t="s">
        <v>106</v>
      </c>
      <c r="G27" s="4" t="s">
        <v>46</v>
      </c>
      <c r="H27" s="38">
        <v>5</v>
      </c>
      <c r="I27" s="4">
        <v>299.99</v>
      </c>
      <c r="J27" s="4" t="s">
        <v>34</v>
      </c>
      <c r="K27" s="4" t="s">
        <v>63</v>
      </c>
      <c r="L27" s="4" t="s">
        <v>22</v>
      </c>
      <c r="M27" s="8">
        <v>45168</v>
      </c>
      <c r="N27" s="34">
        <v>1499.95</v>
      </c>
      <c r="O27" s="4">
        <f ca="1">DATEDIF(Table1[[#This Row],[Customer_Since]],TODAY(),"Y")</f>
        <v>2</v>
      </c>
      <c r="P27" s="12">
        <f ca="1">DATEDIF(Table1[[#This Row],[Date]],TODAY(),"M")</f>
        <v>21</v>
      </c>
      <c r="Q27" s="12" t="str">
        <f ca="1">IF(Table1[[#This Row],[Months_Since_Purchase]]&gt;12,"Inactive","Active")</f>
        <v>Inactive</v>
      </c>
      <c r="R27" s="14">
        <f>EOMONTH(Table1[[#This Row],[Date]],0)</f>
        <v>45443</v>
      </c>
      <c r="S27" s="13" t="str">
        <f>IF(Table1[[#This Row],[Total_Amount]]&gt;=700,"High",
 IF(Table1[[#This Row],[Total_Amount]]&gt;=300,"Medium","Low"))</f>
        <v>High</v>
      </c>
      <c r="T27" s="13">
        <f>Table1[[#This Row],[Total_Amount]]*(1-$AC$8)*0.3</f>
        <v>327.22497383967311</v>
      </c>
      <c r="U27" s="13">
        <f t="shared" si="0"/>
        <v>1979.89</v>
      </c>
      <c r="V27" s="13" t="str">
        <f>IF(Table1[[#This Row],[Customer_Total_Spend]]&gt;5000,"Yes","No")</f>
        <v>No</v>
      </c>
      <c r="W27" s="13">
        <f t="shared" si="1"/>
        <v>26</v>
      </c>
      <c r="AB27" t="str">
        <v>Sarah Davis</v>
      </c>
    </row>
    <row r="28" spans="1:28" ht="15" thickBot="1" x14ac:dyDescent="0.35">
      <c r="A28" s="3" t="s">
        <v>111</v>
      </c>
      <c r="B28" s="8">
        <v>45424</v>
      </c>
      <c r="C28" s="4" t="s">
        <v>112</v>
      </c>
      <c r="D28" s="4" t="s">
        <v>113</v>
      </c>
      <c r="E28" s="4" t="s">
        <v>114</v>
      </c>
      <c r="F28" s="4" t="s">
        <v>115</v>
      </c>
      <c r="G28" s="4" t="s">
        <v>33</v>
      </c>
      <c r="H28" s="38">
        <v>3</v>
      </c>
      <c r="I28" s="4">
        <v>79.989999999999995</v>
      </c>
      <c r="J28" s="4" t="s">
        <v>34</v>
      </c>
      <c r="K28" s="4" t="s">
        <v>63</v>
      </c>
      <c r="L28" s="4" t="s">
        <v>27</v>
      </c>
      <c r="M28" s="8">
        <v>45012</v>
      </c>
      <c r="N28" s="34">
        <v>239.97</v>
      </c>
      <c r="O28" s="4">
        <f ca="1">DATEDIF(Table1[[#This Row],[Customer_Since]],TODAY(),"Y")</f>
        <v>2</v>
      </c>
      <c r="P28" s="12">
        <f ca="1">DATEDIF(Table1[[#This Row],[Date]],TODAY(),"M")</f>
        <v>21</v>
      </c>
      <c r="Q28" s="12" t="str">
        <f ca="1">IF(Table1[[#This Row],[Months_Since_Purchase]]&gt;12,"Inactive","Active")</f>
        <v>Inactive</v>
      </c>
      <c r="R28" s="14">
        <f>EOMONTH(Table1[[#This Row],[Date]],0)</f>
        <v>45443</v>
      </c>
      <c r="S28" s="13" t="str">
        <f>IF(Table1[[#This Row],[Total_Amount]]&gt;=700,"High",
 IF(Table1[[#This Row],[Total_Amount]]&gt;=300,"Medium","Low"))</f>
        <v>Low</v>
      </c>
      <c r="T28" s="13">
        <f>Table1[[#This Row],[Total_Amount]]*(1-$AC$8)*0.3</f>
        <v>52.351196354749391</v>
      </c>
      <c r="U28" s="13">
        <f t="shared" si="0"/>
        <v>1289.9000000000001</v>
      </c>
      <c r="V28" s="13" t="str">
        <f>IF(Table1[[#This Row],[Customer_Total_Spend]]&gt;5000,"Yes","No")</f>
        <v>No</v>
      </c>
      <c r="W28" s="13">
        <f t="shared" si="1"/>
        <v>14</v>
      </c>
      <c r="AB28" t="str">
        <v>Betty Campbell</v>
      </c>
    </row>
    <row r="29" spans="1:28" ht="15" thickBot="1" x14ac:dyDescent="0.35">
      <c r="A29" s="3" t="s">
        <v>116</v>
      </c>
      <c r="B29" s="8">
        <v>45424</v>
      </c>
      <c r="C29" s="4" t="s">
        <v>99</v>
      </c>
      <c r="D29" s="4" t="s">
        <v>100</v>
      </c>
      <c r="E29" s="4" t="s">
        <v>117</v>
      </c>
      <c r="F29" s="4" t="s">
        <v>118</v>
      </c>
      <c r="G29" s="4" t="s">
        <v>19</v>
      </c>
      <c r="H29" s="38">
        <v>5</v>
      </c>
      <c r="I29" s="4">
        <v>89.99</v>
      </c>
      <c r="J29" s="4" t="s">
        <v>20</v>
      </c>
      <c r="K29" s="4" t="s">
        <v>40</v>
      </c>
      <c r="L29" s="4" t="s">
        <v>27</v>
      </c>
      <c r="M29" s="8">
        <v>44919</v>
      </c>
      <c r="N29" s="34">
        <v>449.95</v>
      </c>
      <c r="O29" s="4">
        <f ca="1">DATEDIF(Table1[[#This Row],[Customer_Since]],TODAY(),"Y")</f>
        <v>3</v>
      </c>
      <c r="P29" s="12">
        <f ca="1">DATEDIF(Table1[[#This Row],[Date]],TODAY(),"M")</f>
        <v>21</v>
      </c>
      <c r="Q29" s="12" t="str">
        <f ca="1">IF(Table1[[#This Row],[Months_Since_Purchase]]&gt;12,"Inactive","Active")</f>
        <v>Inactive</v>
      </c>
      <c r="R29" s="14">
        <f>EOMONTH(Table1[[#This Row],[Date]],0)</f>
        <v>45443</v>
      </c>
      <c r="S29" s="13" t="str">
        <f>IF(Table1[[#This Row],[Total_Amount]]&gt;=700,"High",
 IF(Table1[[#This Row],[Total_Amount]]&gt;=300,"Medium","Low"))</f>
        <v>Medium</v>
      </c>
      <c r="T29" s="13">
        <f>Table1[[#This Row],[Total_Amount]]*(1-$AC$8)*0.3</f>
        <v>98.159856647995539</v>
      </c>
      <c r="U29" s="13">
        <f t="shared" si="0"/>
        <v>9799.73</v>
      </c>
      <c r="V29" s="13" t="str">
        <f>IF(Table1[[#This Row],[Customer_Total_Spend]]&gt;5000,"Yes","No")</f>
        <v>Yes</v>
      </c>
      <c r="W29" s="13">
        <f t="shared" si="1"/>
        <v>34</v>
      </c>
      <c r="AB29" t="str">
        <v>Gerald Murphy</v>
      </c>
    </row>
    <row r="30" spans="1:28" ht="15" thickBot="1" x14ac:dyDescent="0.35">
      <c r="A30" s="3" t="s">
        <v>119</v>
      </c>
      <c r="B30" s="8">
        <v>45425</v>
      </c>
      <c r="C30" s="4" t="s">
        <v>120</v>
      </c>
      <c r="D30" s="4" t="s">
        <v>121</v>
      </c>
      <c r="E30" s="4" t="s">
        <v>31</v>
      </c>
      <c r="F30" s="4" t="s">
        <v>32</v>
      </c>
      <c r="G30" s="4" t="s">
        <v>33</v>
      </c>
      <c r="H30" s="38">
        <v>2</v>
      </c>
      <c r="I30" s="4">
        <v>59.99</v>
      </c>
      <c r="J30" s="4" t="s">
        <v>57</v>
      </c>
      <c r="K30" s="4" t="s">
        <v>21</v>
      </c>
      <c r="L30" s="4" t="s">
        <v>36</v>
      </c>
      <c r="M30" s="8">
        <v>45214</v>
      </c>
      <c r="N30" s="34">
        <v>119.98</v>
      </c>
      <c r="O30" s="4">
        <f ca="1">DATEDIF(Table1[[#This Row],[Customer_Since]],TODAY(),"Y")</f>
        <v>2</v>
      </c>
      <c r="P30" s="12">
        <f ca="1">DATEDIF(Table1[[#This Row],[Date]],TODAY(),"M")</f>
        <v>21</v>
      </c>
      <c r="Q30" s="12" t="str">
        <f ca="1">IF(Table1[[#This Row],[Months_Since_Purchase]]&gt;12,"Inactive","Active")</f>
        <v>Inactive</v>
      </c>
      <c r="R30" s="14">
        <f>EOMONTH(Table1[[#This Row],[Date]],0)</f>
        <v>45443</v>
      </c>
      <c r="S30" s="13" t="str">
        <f>IF(Table1[[#This Row],[Total_Amount]]&gt;=700,"High",
 IF(Table1[[#This Row],[Total_Amount]]&gt;=300,"Medium","Low"))</f>
        <v>Low</v>
      </c>
      <c r="T30" s="13">
        <f>Table1[[#This Row],[Total_Amount]]*(1-$AC$8)*0.3</f>
        <v>26.174507391102356</v>
      </c>
      <c r="U30" s="13">
        <f t="shared" si="0"/>
        <v>6459.79</v>
      </c>
      <c r="V30" s="13" t="str">
        <f>IF(Table1[[#This Row],[Customer_Total_Spend]]&gt;5000,"Yes","No")</f>
        <v>Yes</v>
      </c>
      <c r="W30" s="13">
        <f t="shared" si="1"/>
        <v>29</v>
      </c>
      <c r="AB30" t="str">
        <v>Lawrence Reed</v>
      </c>
    </row>
    <row r="31" spans="1:28" ht="15" thickBot="1" x14ac:dyDescent="0.35">
      <c r="A31" s="3" t="s">
        <v>122</v>
      </c>
      <c r="B31" s="8">
        <v>45427</v>
      </c>
      <c r="C31" s="4" t="s">
        <v>123</v>
      </c>
      <c r="D31" s="4" t="s">
        <v>124</v>
      </c>
      <c r="E31" s="4" t="s">
        <v>31</v>
      </c>
      <c r="F31" s="4" t="s">
        <v>32</v>
      </c>
      <c r="G31" s="4" t="s">
        <v>33</v>
      </c>
      <c r="H31" s="38">
        <v>4</v>
      </c>
      <c r="I31" s="4">
        <v>59.99</v>
      </c>
      <c r="J31" s="4" t="s">
        <v>57</v>
      </c>
      <c r="K31" s="4" t="s">
        <v>63</v>
      </c>
      <c r="L31" s="4" t="s">
        <v>36</v>
      </c>
      <c r="M31" s="8">
        <v>44867</v>
      </c>
      <c r="N31" s="34">
        <v>239.96</v>
      </c>
      <c r="O31" s="4">
        <f ca="1">DATEDIF(Table1[[#This Row],[Customer_Since]],TODAY(),"Y")</f>
        <v>3</v>
      </c>
      <c r="P31" s="12">
        <f ca="1">DATEDIF(Table1[[#This Row],[Date]],TODAY(),"M")</f>
        <v>21</v>
      </c>
      <c r="Q31" s="12" t="str">
        <f ca="1">IF(Table1[[#This Row],[Months_Since_Purchase]]&gt;12,"Inactive","Active")</f>
        <v>Inactive</v>
      </c>
      <c r="R31" s="14">
        <f>EOMONTH(Table1[[#This Row],[Date]],0)</f>
        <v>45443</v>
      </c>
      <c r="S31" s="13" t="str">
        <f>IF(Table1[[#This Row],[Total_Amount]]&gt;=700,"High",
 IF(Table1[[#This Row],[Total_Amount]]&gt;=300,"Medium","Low"))</f>
        <v>Low</v>
      </c>
      <c r="T31" s="13">
        <f>Table1[[#This Row],[Total_Amount]]*(1-$AC$8)*0.3</f>
        <v>52.349014782204712</v>
      </c>
      <c r="U31" s="13">
        <f t="shared" si="0"/>
        <v>11919.769999999999</v>
      </c>
      <c r="V31" s="13" t="str">
        <f>IF(Table1[[#This Row],[Customer_Total_Spend]]&gt;5000,"Yes","No")</f>
        <v>Yes</v>
      </c>
      <c r="W31" s="13">
        <f t="shared" si="1"/>
        <v>29</v>
      </c>
      <c r="AB31" t="str">
        <v>Sandra Phillips</v>
      </c>
    </row>
    <row r="32" spans="1:28" ht="15" thickBot="1" x14ac:dyDescent="0.35">
      <c r="A32" s="3" t="s">
        <v>125</v>
      </c>
      <c r="B32" s="8">
        <v>45427</v>
      </c>
      <c r="C32" s="4" t="s">
        <v>55</v>
      </c>
      <c r="D32" s="4" t="s">
        <v>56</v>
      </c>
      <c r="E32" s="4" t="s">
        <v>126</v>
      </c>
      <c r="F32" s="4" t="s">
        <v>127</v>
      </c>
      <c r="G32" s="4" t="s">
        <v>46</v>
      </c>
      <c r="H32" s="38">
        <v>5</v>
      </c>
      <c r="I32" s="4">
        <v>199.99</v>
      </c>
      <c r="J32" s="4" t="s">
        <v>20</v>
      </c>
      <c r="K32" s="4" t="s">
        <v>35</v>
      </c>
      <c r="L32" s="4" t="s">
        <v>36</v>
      </c>
      <c r="M32" s="8">
        <v>44412</v>
      </c>
      <c r="N32" s="34">
        <v>999.95</v>
      </c>
      <c r="O32" s="4">
        <f ca="1">DATEDIF(Table1[[#This Row],[Customer_Since]],TODAY(),"Y")</f>
        <v>4</v>
      </c>
      <c r="P32" s="12">
        <f ca="1">DATEDIF(Table1[[#This Row],[Date]],TODAY(),"M")</f>
        <v>21</v>
      </c>
      <c r="Q32" s="12" t="str">
        <f ca="1">IF(Table1[[#This Row],[Months_Since_Purchase]]&gt;12,"Inactive","Active")</f>
        <v>Inactive</v>
      </c>
      <c r="R32" s="14">
        <f>EOMONTH(Table1[[#This Row],[Date]],0)</f>
        <v>45443</v>
      </c>
      <c r="S32" s="13" t="str">
        <f>IF(Table1[[#This Row],[Total_Amount]]&gt;=700,"High",
 IF(Table1[[#This Row],[Total_Amount]]&gt;=300,"Medium","Low"))</f>
        <v>High</v>
      </c>
      <c r="T32" s="13">
        <f>Table1[[#This Row],[Total_Amount]]*(1-$AC$8)*0.3</f>
        <v>218.14634660554094</v>
      </c>
      <c r="U32" s="13">
        <f t="shared" si="0"/>
        <v>5089.7300000000005</v>
      </c>
      <c r="V32" s="13" t="str">
        <f>IF(Table1[[#This Row],[Customer_Total_Spend]]&gt;5000,"Yes","No")</f>
        <v>Yes</v>
      </c>
      <c r="W32" s="13">
        <f t="shared" si="1"/>
        <v>15</v>
      </c>
    </row>
    <row r="33" spans="1:28" ht="15" thickBot="1" x14ac:dyDescent="0.35">
      <c r="A33" s="3" t="s">
        <v>128</v>
      </c>
      <c r="B33" s="8">
        <v>45428</v>
      </c>
      <c r="C33" s="4" t="s">
        <v>129</v>
      </c>
      <c r="D33" s="4" t="s">
        <v>130</v>
      </c>
      <c r="E33" s="4" t="s">
        <v>44</v>
      </c>
      <c r="F33" s="4" t="s">
        <v>45</v>
      </c>
      <c r="G33" s="4" t="s">
        <v>46</v>
      </c>
      <c r="H33" s="38">
        <v>2</v>
      </c>
      <c r="I33" s="4">
        <v>149.99</v>
      </c>
      <c r="J33" s="4" t="s">
        <v>26</v>
      </c>
      <c r="K33" s="4" t="s">
        <v>50</v>
      </c>
      <c r="L33" s="4" t="s">
        <v>22</v>
      </c>
      <c r="M33" s="8">
        <v>44823</v>
      </c>
      <c r="N33" s="34">
        <v>299.98</v>
      </c>
      <c r="O33" s="4">
        <f ca="1">DATEDIF(Table1[[#This Row],[Customer_Since]],TODAY(),"Y")</f>
        <v>3</v>
      </c>
      <c r="P33" s="12">
        <f ca="1">DATEDIF(Table1[[#This Row],[Date]],TODAY(),"M")</f>
        <v>21</v>
      </c>
      <c r="Q33" s="12" t="str">
        <f ca="1">IF(Table1[[#This Row],[Months_Since_Purchase]]&gt;12,"Inactive","Active")</f>
        <v>Inactive</v>
      </c>
      <c r="R33" s="14">
        <f>EOMONTH(Table1[[#This Row],[Date]],0)</f>
        <v>45443</v>
      </c>
      <c r="S33" s="13" t="str">
        <f>IF(Table1[[#This Row],[Total_Amount]]&gt;=700,"High",
 IF(Table1[[#This Row],[Total_Amount]]&gt;=300,"Medium","Low"))</f>
        <v>Low</v>
      </c>
      <c r="T33" s="13">
        <f>Table1[[#This Row],[Total_Amount]]*(1-$AC$8)*0.3</f>
        <v>65.442813195389931</v>
      </c>
      <c r="U33" s="13">
        <f t="shared" si="0"/>
        <v>2039.8000000000002</v>
      </c>
      <c r="V33" s="13" t="str">
        <f>IF(Table1[[#This Row],[Customer_Total_Spend]]&gt;5000,"Yes","No")</f>
        <v>No</v>
      </c>
      <c r="W33" s="13">
        <f t="shared" si="1"/>
        <v>35</v>
      </c>
      <c r="AB33" s="43" t="s">
        <v>452</v>
      </c>
    </row>
    <row r="34" spans="1:28" ht="15" thickBot="1" x14ac:dyDescent="0.35">
      <c r="A34" s="3" t="s">
        <v>131</v>
      </c>
      <c r="B34" s="8">
        <v>45430</v>
      </c>
      <c r="C34" s="4" t="s">
        <v>132</v>
      </c>
      <c r="D34" s="4" t="s">
        <v>133</v>
      </c>
      <c r="E34" s="4" t="s">
        <v>44</v>
      </c>
      <c r="F34" s="4" t="s">
        <v>45</v>
      </c>
      <c r="G34" s="4" t="s">
        <v>46</v>
      </c>
      <c r="H34" s="38">
        <v>3</v>
      </c>
      <c r="I34" s="4">
        <v>149.99</v>
      </c>
      <c r="J34" s="4" t="s">
        <v>26</v>
      </c>
      <c r="K34" s="4" t="s">
        <v>50</v>
      </c>
      <c r="L34" s="4" t="s">
        <v>27</v>
      </c>
      <c r="M34" s="8">
        <v>45068</v>
      </c>
      <c r="N34" s="34">
        <v>449.97</v>
      </c>
      <c r="O34" s="4">
        <f ca="1">DATEDIF(Table1[[#This Row],[Customer_Since]],TODAY(),"Y")</f>
        <v>2</v>
      </c>
      <c r="P34" s="12">
        <f ca="1">DATEDIF(Table1[[#This Row],[Date]],TODAY(),"M")</f>
        <v>21</v>
      </c>
      <c r="Q34" s="12" t="str">
        <f ca="1">IF(Table1[[#This Row],[Months_Since_Purchase]]&gt;12,"Inactive","Active")</f>
        <v>Inactive</v>
      </c>
      <c r="R34" s="14">
        <f>EOMONTH(Table1[[#This Row],[Date]],0)</f>
        <v>45443</v>
      </c>
      <c r="S34" s="13" t="str">
        <f>IF(Table1[[#This Row],[Total_Amount]]&gt;=700,"High",
 IF(Table1[[#This Row],[Total_Amount]]&gt;=300,"Medium","Low"))</f>
        <v>Medium</v>
      </c>
      <c r="T34" s="13">
        <f>Table1[[#This Row],[Total_Amount]]*(1-$AC$8)*0.3</f>
        <v>98.164219793084911</v>
      </c>
      <c r="U34" s="13">
        <f t="shared" si="0"/>
        <v>1229.8800000000001</v>
      </c>
      <c r="V34" s="13" t="str">
        <f>IF(Table1[[#This Row],[Customer_Total_Spend]]&gt;5000,"Yes","No")</f>
        <v>No</v>
      </c>
      <c r="W34" s="13">
        <f t="shared" si="1"/>
        <v>35</v>
      </c>
      <c r="AB34" t="str">
        <f>INDEX(F:F,MATCH(MAX(W:W),W:W,0))</f>
        <v>Bookshelf</v>
      </c>
    </row>
    <row r="35" spans="1:28" ht="15" thickBot="1" x14ac:dyDescent="0.35">
      <c r="A35" s="3" t="s">
        <v>134</v>
      </c>
      <c r="B35" s="8">
        <v>45432</v>
      </c>
      <c r="C35" s="4" t="s">
        <v>29</v>
      </c>
      <c r="D35" s="4" t="s">
        <v>30</v>
      </c>
      <c r="E35" s="4" t="s">
        <v>61</v>
      </c>
      <c r="F35" s="4" t="s">
        <v>62</v>
      </c>
      <c r="G35" s="4" t="s">
        <v>19</v>
      </c>
      <c r="H35" s="38">
        <v>1</v>
      </c>
      <c r="I35" s="4">
        <v>899.99</v>
      </c>
      <c r="J35" s="4" t="s">
        <v>26</v>
      </c>
      <c r="K35" s="4" t="s">
        <v>50</v>
      </c>
      <c r="L35" s="4" t="s">
        <v>27</v>
      </c>
      <c r="M35" s="8">
        <v>44578</v>
      </c>
      <c r="N35" s="34">
        <v>899.99</v>
      </c>
      <c r="O35" s="4">
        <f ca="1">DATEDIF(Table1[[#This Row],[Customer_Since]],TODAY(),"Y")</f>
        <v>4</v>
      </c>
      <c r="P35" s="12">
        <f ca="1">DATEDIF(Table1[[#This Row],[Date]],TODAY(),"M")</f>
        <v>21</v>
      </c>
      <c r="Q35" s="12" t="str">
        <f ca="1">IF(Table1[[#This Row],[Months_Since_Purchase]]&gt;12,"Inactive","Active")</f>
        <v>Inactive</v>
      </c>
      <c r="R35" s="14">
        <f>EOMONTH(Table1[[#This Row],[Date]],0)</f>
        <v>45443</v>
      </c>
      <c r="S35" s="13" t="str">
        <f>IF(Table1[[#This Row],[Total_Amount]]&gt;=700,"High",
 IF(Table1[[#This Row],[Total_Amount]]&gt;=300,"Medium","Low"))</f>
        <v>High</v>
      </c>
      <c r="T35" s="13">
        <f>Table1[[#This Row],[Total_Amount]]*(1-$AC$8)*0.3</f>
        <v>196.33934744889322</v>
      </c>
      <c r="U35" s="13">
        <f t="shared" si="0"/>
        <v>3259.87</v>
      </c>
      <c r="V35" s="13" t="str">
        <f>IF(Table1[[#This Row],[Customer_Total_Spend]]&gt;5000,"Yes","No")</f>
        <v>No</v>
      </c>
      <c r="W35" s="13">
        <f t="shared" si="1"/>
        <v>24</v>
      </c>
    </row>
    <row r="36" spans="1:28" ht="15" thickBot="1" x14ac:dyDescent="0.35">
      <c r="A36" s="3" t="s">
        <v>135</v>
      </c>
      <c r="B36" s="8">
        <v>45434</v>
      </c>
      <c r="C36" s="4" t="s">
        <v>99</v>
      </c>
      <c r="D36" s="4" t="s">
        <v>100</v>
      </c>
      <c r="E36" s="4" t="s">
        <v>105</v>
      </c>
      <c r="F36" s="4" t="s">
        <v>106</v>
      </c>
      <c r="G36" s="4" t="s">
        <v>46</v>
      </c>
      <c r="H36" s="38">
        <v>3</v>
      </c>
      <c r="I36" s="4">
        <v>299.99</v>
      </c>
      <c r="J36" s="4" t="s">
        <v>26</v>
      </c>
      <c r="K36" s="4" t="s">
        <v>63</v>
      </c>
      <c r="L36" s="4" t="s">
        <v>22</v>
      </c>
      <c r="M36" s="8">
        <v>44824</v>
      </c>
      <c r="N36" s="34">
        <v>899.97</v>
      </c>
      <c r="O36" s="4">
        <f ca="1">DATEDIF(Table1[[#This Row],[Customer_Since]],TODAY(),"Y")</f>
        <v>3</v>
      </c>
      <c r="P36" s="12">
        <f ca="1">DATEDIF(Table1[[#This Row],[Date]],TODAY(),"M")</f>
        <v>21</v>
      </c>
      <c r="Q36" s="12" t="str">
        <f ca="1">IF(Table1[[#This Row],[Months_Since_Purchase]]&gt;12,"Inactive","Active")</f>
        <v>Inactive</v>
      </c>
      <c r="R36" s="14">
        <f>EOMONTH(Table1[[#This Row],[Date]],0)</f>
        <v>45443</v>
      </c>
      <c r="S36" s="13" t="str">
        <f>IF(Table1[[#This Row],[Total_Amount]]&gt;=700,"High",
 IF(Table1[[#This Row],[Total_Amount]]&gt;=300,"Medium","Low"))</f>
        <v>High</v>
      </c>
      <c r="T36" s="13">
        <f>Table1[[#This Row],[Total_Amount]]*(1-$AC$8)*0.3</f>
        <v>196.33498430380385</v>
      </c>
      <c r="U36" s="13">
        <f t="shared" si="0"/>
        <v>9799.73</v>
      </c>
      <c r="V36" s="13" t="str">
        <f>IF(Table1[[#This Row],[Customer_Total_Spend]]&gt;5000,"Yes","No")</f>
        <v>Yes</v>
      </c>
      <c r="W36" s="13">
        <f t="shared" si="1"/>
        <v>26</v>
      </c>
    </row>
    <row r="37" spans="1:28" ht="15" thickBot="1" x14ac:dyDescent="0.35">
      <c r="A37" s="3" t="s">
        <v>136</v>
      </c>
      <c r="B37" s="8">
        <v>45435</v>
      </c>
      <c r="C37" s="4" t="s">
        <v>129</v>
      </c>
      <c r="D37" s="4" t="s">
        <v>130</v>
      </c>
      <c r="E37" s="4" t="s">
        <v>114</v>
      </c>
      <c r="F37" s="4" t="s">
        <v>115</v>
      </c>
      <c r="G37" s="4" t="s">
        <v>33</v>
      </c>
      <c r="H37" s="38">
        <v>3</v>
      </c>
      <c r="I37" s="4">
        <v>79.989999999999995</v>
      </c>
      <c r="J37" s="4" t="s">
        <v>20</v>
      </c>
      <c r="K37" s="4" t="s">
        <v>35</v>
      </c>
      <c r="L37" s="4" t="s">
        <v>22</v>
      </c>
      <c r="M37" s="8">
        <v>45046</v>
      </c>
      <c r="N37" s="34">
        <v>239.97</v>
      </c>
      <c r="O37" s="4">
        <f ca="1">DATEDIF(Table1[[#This Row],[Customer_Since]],TODAY(),"Y")</f>
        <v>2</v>
      </c>
      <c r="P37" s="12">
        <f ca="1">DATEDIF(Table1[[#This Row],[Date]],TODAY(),"M")</f>
        <v>21</v>
      </c>
      <c r="Q37" s="12" t="str">
        <f ca="1">IF(Table1[[#This Row],[Months_Since_Purchase]]&gt;12,"Inactive","Active")</f>
        <v>Inactive</v>
      </c>
      <c r="R37" s="14">
        <f>EOMONTH(Table1[[#This Row],[Date]],0)</f>
        <v>45443</v>
      </c>
      <c r="S37" s="13" t="str">
        <f>IF(Table1[[#This Row],[Total_Amount]]&gt;=700,"High",
 IF(Table1[[#This Row],[Total_Amount]]&gt;=300,"Medium","Low"))</f>
        <v>Low</v>
      </c>
      <c r="T37" s="13">
        <f>Table1[[#This Row],[Total_Amount]]*(1-$AC$8)*0.3</f>
        <v>52.351196354749391</v>
      </c>
      <c r="U37" s="13">
        <f t="shared" si="0"/>
        <v>2039.8000000000002</v>
      </c>
      <c r="V37" s="13" t="str">
        <f>IF(Table1[[#This Row],[Customer_Total_Spend]]&gt;5000,"Yes","No")</f>
        <v>No</v>
      </c>
      <c r="W37" s="13">
        <f t="shared" si="1"/>
        <v>14</v>
      </c>
    </row>
    <row r="38" spans="1:28" ht="15" thickBot="1" x14ac:dyDescent="0.35">
      <c r="A38" s="3" t="s">
        <v>137</v>
      </c>
      <c r="B38" s="8">
        <v>45438</v>
      </c>
      <c r="C38" s="4" t="s">
        <v>138</v>
      </c>
      <c r="D38" s="4" t="s">
        <v>139</v>
      </c>
      <c r="E38" s="4" t="s">
        <v>126</v>
      </c>
      <c r="F38" s="4" t="s">
        <v>127</v>
      </c>
      <c r="G38" s="4" t="s">
        <v>46</v>
      </c>
      <c r="H38" s="38">
        <v>3</v>
      </c>
      <c r="I38" s="4">
        <v>199.99</v>
      </c>
      <c r="J38" s="4" t="s">
        <v>26</v>
      </c>
      <c r="K38" s="4" t="s">
        <v>40</v>
      </c>
      <c r="L38" s="4" t="s">
        <v>27</v>
      </c>
      <c r="M38" s="8">
        <v>45292</v>
      </c>
      <c r="N38" s="34">
        <v>599.97</v>
      </c>
      <c r="O38" s="4">
        <f ca="1">DATEDIF(Table1[[#This Row],[Customer_Since]],TODAY(),"Y")</f>
        <v>2</v>
      </c>
      <c r="P38" s="12">
        <f ca="1">DATEDIF(Table1[[#This Row],[Date]],TODAY(),"M")</f>
        <v>21</v>
      </c>
      <c r="Q38" s="12" t="str">
        <f ca="1">IF(Table1[[#This Row],[Months_Since_Purchase]]&gt;12,"Inactive","Active")</f>
        <v>Inactive</v>
      </c>
      <c r="R38" s="14">
        <f>EOMONTH(Table1[[#This Row],[Date]],0)</f>
        <v>45443</v>
      </c>
      <c r="S38" s="13" t="str">
        <f>IF(Table1[[#This Row],[Total_Amount]]&gt;=700,"High",
 IF(Table1[[#This Row],[Total_Amount]]&gt;=300,"Medium","Low"))</f>
        <v>Medium</v>
      </c>
      <c r="T38" s="13">
        <f>Table1[[#This Row],[Total_Amount]]*(1-$AC$8)*0.3</f>
        <v>130.88780796332455</v>
      </c>
      <c r="U38" s="13">
        <f t="shared" si="0"/>
        <v>2649.83</v>
      </c>
      <c r="V38" s="13" t="str">
        <f>IF(Table1[[#This Row],[Customer_Total_Spend]]&gt;5000,"Yes","No")</f>
        <v>No</v>
      </c>
      <c r="W38" s="13">
        <f t="shared" si="1"/>
        <v>15</v>
      </c>
    </row>
    <row r="39" spans="1:28" ht="15" thickBot="1" x14ac:dyDescent="0.35">
      <c r="A39" s="3" t="s">
        <v>140</v>
      </c>
      <c r="B39" s="8">
        <v>45440</v>
      </c>
      <c r="C39" s="4" t="s">
        <v>141</v>
      </c>
      <c r="D39" s="4" t="s">
        <v>142</v>
      </c>
      <c r="E39" s="4" t="s">
        <v>80</v>
      </c>
      <c r="F39" s="4" t="s">
        <v>81</v>
      </c>
      <c r="G39" s="4" t="s">
        <v>19</v>
      </c>
      <c r="H39" s="38">
        <v>5</v>
      </c>
      <c r="I39" s="4">
        <v>699.99</v>
      </c>
      <c r="J39" s="4" t="s">
        <v>34</v>
      </c>
      <c r="K39" s="4" t="s">
        <v>50</v>
      </c>
      <c r="L39" s="4" t="s">
        <v>36</v>
      </c>
      <c r="M39" s="8">
        <v>44407</v>
      </c>
      <c r="N39" s="34">
        <v>3499.95</v>
      </c>
      <c r="O39" s="4">
        <f ca="1">DATEDIF(Table1[[#This Row],[Customer_Since]],TODAY(),"Y")</f>
        <v>4</v>
      </c>
      <c r="P39" s="12">
        <f ca="1">DATEDIF(Table1[[#This Row],[Date]],TODAY(),"M")</f>
        <v>21</v>
      </c>
      <c r="Q39" s="12" t="str">
        <f ca="1">IF(Table1[[#This Row],[Months_Since_Purchase]]&gt;12,"Inactive","Active")</f>
        <v>Inactive</v>
      </c>
      <c r="R39" s="14">
        <f>EOMONTH(Table1[[#This Row],[Date]],0)</f>
        <v>45443</v>
      </c>
      <c r="S39" s="13" t="str">
        <f>IF(Table1[[#This Row],[Total_Amount]]&gt;=700,"High",
 IF(Table1[[#This Row],[Total_Amount]]&gt;=300,"Medium","Low"))</f>
        <v>High</v>
      </c>
      <c r="T39" s="13">
        <f>Table1[[#This Row],[Total_Amount]]*(1-$AC$8)*0.3</f>
        <v>763.53948277620168</v>
      </c>
      <c r="U39" s="13">
        <f t="shared" si="0"/>
        <v>4739.8500000000004</v>
      </c>
      <c r="V39" s="13" t="str">
        <f>IF(Table1[[#This Row],[Customer_Total_Spend]]&gt;5000,"Yes","No")</f>
        <v>No</v>
      </c>
      <c r="W39" s="13">
        <f t="shared" si="1"/>
        <v>31</v>
      </c>
    </row>
    <row r="40" spans="1:28" ht="15" thickBot="1" x14ac:dyDescent="0.35">
      <c r="A40" s="3" t="s">
        <v>143</v>
      </c>
      <c r="B40" s="8">
        <v>45441</v>
      </c>
      <c r="C40" s="4" t="s">
        <v>144</v>
      </c>
      <c r="D40" s="4" t="s">
        <v>145</v>
      </c>
      <c r="E40" s="4" t="s">
        <v>117</v>
      </c>
      <c r="F40" s="4" t="s">
        <v>118</v>
      </c>
      <c r="G40" s="4" t="s">
        <v>19</v>
      </c>
      <c r="H40" s="38">
        <v>3</v>
      </c>
      <c r="I40" s="4">
        <v>89.99</v>
      </c>
      <c r="J40" s="4" t="s">
        <v>34</v>
      </c>
      <c r="K40" s="4" t="s">
        <v>21</v>
      </c>
      <c r="L40" s="4" t="s">
        <v>27</v>
      </c>
      <c r="M40" s="8">
        <v>45120</v>
      </c>
      <c r="N40" s="34">
        <v>269.97000000000003</v>
      </c>
      <c r="O40" s="4">
        <f ca="1">DATEDIF(Table1[[#This Row],[Customer_Since]],TODAY(),"Y")</f>
        <v>2</v>
      </c>
      <c r="P40" s="12">
        <f ca="1">DATEDIF(Table1[[#This Row],[Date]],TODAY(),"M")</f>
        <v>21</v>
      </c>
      <c r="Q40" s="12" t="str">
        <f ca="1">IF(Table1[[#This Row],[Months_Since_Purchase]]&gt;12,"Inactive","Active")</f>
        <v>Inactive</v>
      </c>
      <c r="R40" s="14">
        <f>EOMONTH(Table1[[#This Row],[Date]],0)</f>
        <v>45443</v>
      </c>
      <c r="S40" s="13" t="str">
        <f>IF(Table1[[#This Row],[Total_Amount]]&gt;=700,"High",
 IF(Table1[[#This Row],[Total_Amount]]&gt;=300,"Medium","Low"))</f>
        <v>Low</v>
      </c>
      <c r="T40" s="13">
        <f>Table1[[#This Row],[Total_Amount]]*(1-$AC$8)*0.3</f>
        <v>58.895913988797318</v>
      </c>
      <c r="U40" s="13">
        <f t="shared" si="0"/>
        <v>5519.8899999999994</v>
      </c>
      <c r="V40" s="13" t="str">
        <f>IF(Table1[[#This Row],[Customer_Total_Spend]]&gt;5000,"Yes","No")</f>
        <v>Yes</v>
      </c>
      <c r="W40" s="13">
        <f t="shared" si="1"/>
        <v>34</v>
      </c>
    </row>
    <row r="41" spans="1:28" ht="15" thickBot="1" x14ac:dyDescent="0.35">
      <c r="A41" s="3" t="s">
        <v>146</v>
      </c>
      <c r="B41" s="8">
        <v>45443</v>
      </c>
      <c r="C41" s="4" t="s">
        <v>147</v>
      </c>
      <c r="D41" s="4" t="s">
        <v>148</v>
      </c>
      <c r="E41" s="4" t="s">
        <v>114</v>
      </c>
      <c r="F41" s="4" t="s">
        <v>115</v>
      </c>
      <c r="G41" s="4" t="s">
        <v>33</v>
      </c>
      <c r="H41" s="38">
        <v>1</v>
      </c>
      <c r="I41" s="4">
        <v>79.989999999999995</v>
      </c>
      <c r="J41" s="4" t="s">
        <v>20</v>
      </c>
      <c r="K41" s="4" t="s">
        <v>40</v>
      </c>
      <c r="L41" s="4" t="s">
        <v>36</v>
      </c>
      <c r="M41" s="8">
        <v>44917</v>
      </c>
      <c r="N41" s="34">
        <v>79.989999999999995</v>
      </c>
      <c r="O41" s="4">
        <f ca="1">DATEDIF(Table1[[#This Row],[Customer_Since]],TODAY(),"Y")</f>
        <v>3</v>
      </c>
      <c r="P41" s="12">
        <f ca="1">DATEDIF(Table1[[#This Row],[Date]],TODAY(),"M")</f>
        <v>21</v>
      </c>
      <c r="Q41" s="12" t="str">
        <f ca="1">IF(Table1[[#This Row],[Months_Since_Purchase]]&gt;12,"Inactive","Active")</f>
        <v>Inactive</v>
      </c>
      <c r="R41" s="14">
        <f>EOMONTH(Table1[[#This Row],[Date]],0)</f>
        <v>45443</v>
      </c>
      <c r="S41" s="13" t="str">
        <f>IF(Table1[[#This Row],[Total_Amount]]&gt;=700,"High",
 IF(Table1[[#This Row],[Total_Amount]]&gt;=300,"Medium","Low"))</f>
        <v>Low</v>
      </c>
      <c r="T41" s="13">
        <f>Table1[[#This Row],[Total_Amount]]*(1-$AC$8)*0.3</f>
        <v>17.450398784916462</v>
      </c>
      <c r="U41" s="13">
        <f t="shared" si="0"/>
        <v>7309.7999999999993</v>
      </c>
      <c r="V41" s="13" t="str">
        <f>IF(Table1[[#This Row],[Customer_Total_Spend]]&gt;5000,"Yes","No")</f>
        <v>Yes</v>
      </c>
      <c r="W41" s="13">
        <f t="shared" si="1"/>
        <v>14</v>
      </c>
    </row>
    <row r="42" spans="1:28" ht="15" thickBot="1" x14ac:dyDescent="0.35">
      <c r="A42" s="3" t="s">
        <v>149</v>
      </c>
      <c r="B42" s="8">
        <v>45444</v>
      </c>
      <c r="C42" s="4" t="s">
        <v>150</v>
      </c>
      <c r="D42" s="4" t="s">
        <v>151</v>
      </c>
      <c r="E42" s="4" t="s">
        <v>31</v>
      </c>
      <c r="F42" s="4" t="s">
        <v>32</v>
      </c>
      <c r="G42" s="4" t="s">
        <v>33</v>
      </c>
      <c r="H42" s="38">
        <v>2</v>
      </c>
      <c r="I42" s="4">
        <v>59.99</v>
      </c>
      <c r="J42" s="4" t="s">
        <v>20</v>
      </c>
      <c r="K42" s="4" t="s">
        <v>50</v>
      </c>
      <c r="L42" s="4" t="s">
        <v>22</v>
      </c>
      <c r="M42" s="8">
        <v>45390</v>
      </c>
      <c r="N42" s="34">
        <v>119.98</v>
      </c>
      <c r="O42" s="4">
        <f ca="1">DATEDIF(Table1[[#This Row],[Customer_Since]],TODAY(),"Y")</f>
        <v>1</v>
      </c>
      <c r="P42" s="12">
        <f ca="1">DATEDIF(Table1[[#This Row],[Date]],TODAY(),"M")</f>
        <v>21</v>
      </c>
      <c r="Q42" s="12" t="str">
        <f ca="1">IF(Table1[[#This Row],[Months_Since_Purchase]]&gt;12,"Inactive","Active")</f>
        <v>Inactive</v>
      </c>
      <c r="R42" s="14">
        <f>EOMONTH(Table1[[#This Row],[Date]],0)</f>
        <v>45473</v>
      </c>
      <c r="S42" s="13" t="str">
        <f>IF(Table1[[#This Row],[Total_Amount]]&gt;=700,"High",
 IF(Table1[[#This Row],[Total_Amount]]&gt;=300,"Medium","Low"))</f>
        <v>Low</v>
      </c>
      <c r="T42" s="13">
        <f>Table1[[#This Row],[Total_Amount]]*(1-$AC$8)*0.3</f>
        <v>26.174507391102356</v>
      </c>
      <c r="U42" s="13">
        <f t="shared" si="0"/>
        <v>5619.869999999999</v>
      </c>
      <c r="V42" s="13" t="str">
        <f>IF(Table1[[#This Row],[Customer_Total_Spend]]&gt;5000,"Yes","No")</f>
        <v>Yes</v>
      </c>
      <c r="W42" s="13">
        <f t="shared" si="1"/>
        <v>29</v>
      </c>
    </row>
    <row r="43" spans="1:28" ht="15" thickBot="1" x14ac:dyDescent="0.35">
      <c r="A43" s="3" t="s">
        <v>152</v>
      </c>
      <c r="B43" s="8">
        <v>45444</v>
      </c>
      <c r="C43" s="4" t="s">
        <v>55</v>
      </c>
      <c r="D43" s="4" t="s">
        <v>56</v>
      </c>
      <c r="E43" s="4" t="s">
        <v>117</v>
      </c>
      <c r="F43" s="4" t="s">
        <v>118</v>
      </c>
      <c r="G43" s="4" t="s">
        <v>19</v>
      </c>
      <c r="H43" s="38">
        <v>1</v>
      </c>
      <c r="I43" s="4">
        <v>89.99</v>
      </c>
      <c r="J43" s="4" t="s">
        <v>20</v>
      </c>
      <c r="K43" s="4" t="s">
        <v>40</v>
      </c>
      <c r="L43" s="4" t="s">
        <v>22</v>
      </c>
      <c r="M43" s="8">
        <v>45141</v>
      </c>
      <c r="N43" s="34">
        <v>89.99</v>
      </c>
      <c r="O43" s="4">
        <f ca="1">DATEDIF(Table1[[#This Row],[Customer_Since]],TODAY(),"Y")</f>
        <v>2</v>
      </c>
      <c r="P43" s="12">
        <f ca="1">DATEDIF(Table1[[#This Row],[Date]],TODAY(),"M")</f>
        <v>21</v>
      </c>
      <c r="Q43" s="12" t="str">
        <f ca="1">IF(Table1[[#This Row],[Months_Since_Purchase]]&gt;12,"Inactive","Active")</f>
        <v>Inactive</v>
      </c>
      <c r="R43" s="14">
        <f>EOMONTH(Table1[[#This Row],[Date]],0)</f>
        <v>45473</v>
      </c>
      <c r="S43" s="13" t="str">
        <f>IF(Table1[[#This Row],[Total_Amount]]&gt;=700,"High",
 IF(Table1[[#This Row],[Total_Amount]]&gt;=300,"Medium","Low"))</f>
        <v>Low</v>
      </c>
      <c r="T43" s="13">
        <f>Table1[[#This Row],[Total_Amount]]*(1-$AC$8)*0.3</f>
        <v>19.631971329599107</v>
      </c>
      <c r="U43" s="13">
        <f t="shared" si="0"/>
        <v>5089.7300000000005</v>
      </c>
      <c r="V43" s="13" t="str">
        <f>IF(Table1[[#This Row],[Customer_Total_Spend]]&gt;5000,"Yes","No")</f>
        <v>Yes</v>
      </c>
      <c r="W43" s="13">
        <f t="shared" si="1"/>
        <v>34</v>
      </c>
    </row>
    <row r="44" spans="1:28" ht="15" thickBot="1" x14ac:dyDescent="0.35">
      <c r="A44" s="3" t="s">
        <v>153</v>
      </c>
      <c r="B44" s="8">
        <v>45446</v>
      </c>
      <c r="C44" s="4" t="s">
        <v>154</v>
      </c>
      <c r="D44" s="4" t="s">
        <v>155</v>
      </c>
      <c r="E44" s="4" t="s">
        <v>117</v>
      </c>
      <c r="F44" s="4" t="s">
        <v>118</v>
      </c>
      <c r="G44" s="4" t="s">
        <v>19</v>
      </c>
      <c r="H44" s="38">
        <v>5</v>
      </c>
      <c r="I44" s="4">
        <v>89.99</v>
      </c>
      <c r="J44" s="4" t="s">
        <v>26</v>
      </c>
      <c r="K44" s="4" t="s">
        <v>63</v>
      </c>
      <c r="L44" s="4" t="s">
        <v>36</v>
      </c>
      <c r="M44" s="8">
        <v>44587</v>
      </c>
      <c r="N44" s="34">
        <v>449.95</v>
      </c>
      <c r="O44" s="4">
        <f ca="1">DATEDIF(Table1[[#This Row],[Customer_Since]],TODAY(),"Y")</f>
        <v>4</v>
      </c>
      <c r="P44" s="12">
        <f ca="1">DATEDIF(Table1[[#This Row],[Date]],TODAY(),"M")</f>
        <v>21</v>
      </c>
      <c r="Q44" s="12" t="str">
        <f ca="1">IF(Table1[[#This Row],[Months_Since_Purchase]]&gt;12,"Inactive","Active")</f>
        <v>Inactive</v>
      </c>
      <c r="R44" s="14">
        <f>EOMONTH(Table1[[#This Row],[Date]],0)</f>
        <v>45473</v>
      </c>
      <c r="S44" s="13" t="str">
        <f>IF(Table1[[#This Row],[Total_Amount]]&gt;=700,"High",
 IF(Table1[[#This Row],[Total_Amount]]&gt;=300,"Medium","Low"))</f>
        <v>Medium</v>
      </c>
      <c r="T44" s="13">
        <f>Table1[[#This Row],[Total_Amount]]*(1-$AC$8)*0.3</f>
        <v>98.159856647995539</v>
      </c>
      <c r="U44" s="13">
        <f t="shared" si="0"/>
        <v>5499.8099999999995</v>
      </c>
      <c r="V44" s="13" t="str">
        <f>IF(Table1[[#This Row],[Customer_Total_Spend]]&gt;5000,"Yes","No")</f>
        <v>Yes</v>
      </c>
      <c r="W44" s="13">
        <f t="shared" si="1"/>
        <v>34</v>
      </c>
    </row>
    <row r="45" spans="1:28" ht="15" thickBot="1" x14ac:dyDescent="0.35">
      <c r="A45" s="3" t="s">
        <v>156</v>
      </c>
      <c r="B45" s="8">
        <v>45449</v>
      </c>
      <c r="C45" s="4" t="s">
        <v>24</v>
      </c>
      <c r="D45" s="4" t="s">
        <v>25</v>
      </c>
      <c r="E45" s="4" t="s">
        <v>17</v>
      </c>
      <c r="F45" s="4" t="s">
        <v>18</v>
      </c>
      <c r="G45" s="4" t="s">
        <v>19</v>
      </c>
      <c r="H45" s="38">
        <v>5</v>
      </c>
      <c r="I45" s="4">
        <v>249.99</v>
      </c>
      <c r="J45" s="4" t="s">
        <v>26</v>
      </c>
      <c r="K45" s="4" t="s">
        <v>63</v>
      </c>
      <c r="L45" s="4" t="s">
        <v>36</v>
      </c>
      <c r="M45" s="8">
        <v>44707</v>
      </c>
      <c r="N45" s="34">
        <v>1249.95</v>
      </c>
      <c r="O45" s="4">
        <f ca="1">DATEDIF(Table1[[#This Row],[Customer_Since]],TODAY(),"Y")</f>
        <v>3</v>
      </c>
      <c r="P45" s="12">
        <f ca="1">DATEDIF(Table1[[#This Row],[Date]],TODAY(),"M")</f>
        <v>20</v>
      </c>
      <c r="Q45" s="12" t="str">
        <f ca="1">IF(Table1[[#This Row],[Months_Since_Purchase]]&gt;12,"Inactive","Active")</f>
        <v>Inactive</v>
      </c>
      <c r="R45" s="14">
        <f>EOMONTH(Table1[[#This Row],[Date]],0)</f>
        <v>45473</v>
      </c>
      <c r="S45" s="13" t="str">
        <f>IF(Table1[[#This Row],[Total_Amount]]&gt;=700,"High",
 IF(Table1[[#This Row],[Total_Amount]]&gt;=300,"Medium","Low"))</f>
        <v>High</v>
      </c>
      <c r="T45" s="13">
        <f>Table1[[#This Row],[Total_Amount]]*(1-$AC$8)*0.3</f>
        <v>272.685660222607</v>
      </c>
      <c r="U45" s="13">
        <f t="shared" si="0"/>
        <v>6949.84</v>
      </c>
      <c r="V45" s="13" t="str">
        <f>IF(Table1[[#This Row],[Customer_Total_Spend]]&gt;5000,"Yes","No")</f>
        <v>Yes</v>
      </c>
      <c r="W45" s="13">
        <f t="shared" si="1"/>
        <v>26</v>
      </c>
    </row>
    <row r="46" spans="1:28" ht="15" thickBot="1" x14ac:dyDescent="0.35">
      <c r="A46" s="3" t="s">
        <v>157</v>
      </c>
      <c r="B46" s="8">
        <v>45449</v>
      </c>
      <c r="C46" s="4" t="s">
        <v>158</v>
      </c>
      <c r="D46" s="4" t="s">
        <v>159</v>
      </c>
      <c r="E46" s="4" t="s">
        <v>117</v>
      </c>
      <c r="F46" s="4" t="s">
        <v>118</v>
      </c>
      <c r="G46" s="4" t="s">
        <v>19</v>
      </c>
      <c r="H46" s="38">
        <v>1</v>
      </c>
      <c r="I46" s="4">
        <v>89.99</v>
      </c>
      <c r="J46" s="4" t="s">
        <v>26</v>
      </c>
      <c r="K46" s="4" t="s">
        <v>35</v>
      </c>
      <c r="L46" s="4" t="s">
        <v>36</v>
      </c>
      <c r="M46" s="8">
        <v>44582</v>
      </c>
      <c r="N46" s="34">
        <v>89.99</v>
      </c>
      <c r="O46" s="4">
        <f ca="1">DATEDIF(Table1[[#This Row],[Customer_Since]],TODAY(),"Y")</f>
        <v>4</v>
      </c>
      <c r="P46" s="12">
        <f ca="1">DATEDIF(Table1[[#This Row],[Date]],TODAY(),"M")</f>
        <v>20</v>
      </c>
      <c r="Q46" s="12" t="str">
        <f ca="1">IF(Table1[[#This Row],[Months_Since_Purchase]]&gt;12,"Inactive","Active")</f>
        <v>Inactive</v>
      </c>
      <c r="R46" s="14">
        <f>EOMONTH(Table1[[#This Row],[Date]],0)</f>
        <v>45473</v>
      </c>
      <c r="S46" s="13" t="str">
        <f>IF(Table1[[#This Row],[Total_Amount]]&gt;=700,"High",
 IF(Table1[[#This Row],[Total_Amount]]&gt;=300,"Medium","Low"))</f>
        <v>Low</v>
      </c>
      <c r="T46" s="13">
        <f>Table1[[#This Row],[Total_Amount]]*(1-$AC$8)*0.3</f>
        <v>19.631971329599107</v>
      </c>
      <c r="U46" s="13">
        <f t="shared" si="0"/>
        <v>5649.84</v>
      </c>
      <c r="V46" s="13" t="str">
        <f>IF(Table1[[#This Row],[Customer_Total_Spend]]&gt;5000,"Yes","No")</f>
        <v>Yes</v>
      </c>
      <c r="W46" s="13">
        <f t="shared" si="1"/>
        <v>34</v>
      </c>
    </row>
    <row r="47" spans="1:28" ht="15" thickBot="1" x14ac:dyDescent="0.35">
      <c r="A47" s="3" t="s">
        <v>160</v>
      </c>
      <c r="B47" s="8">
        <v>45450</v>
      </c>
      <c r="C47" s="4" t="s">
        <v>42</v>
      </c>
      <c r="D47" s="4" t="s">
        <v>43</v>
      </c>
      <c r="E47" s="4" t="s">
        <v>44</v>
      </c>
      <c r="F47" s="4" t="s">
        <v>45</v>
      </c>
      <c r="G47" s="4" t="s">
        <v>46</v>
      </c>
      <c r="H47" s="38">
        <v>2</v>
      </c>
      <c r="I47" s="4">
        <v>149.99</v>
      </c>
      <c r="J47" s="4" t="s">
        <v>20</v>
      </c>
      <c r="K47" s="4" t="s">
        <v>63</v>
      </c>
      <c r="L47" s="4" t="s">
        <v>27</v>
      </c>
      <c r="M47" s="8">
        <v>44645</v>
      </c>
      <c r="N47" s="34">
        <v>299.98</v>
      </c>
      <c r="O47" s="4">
        <f ca="1">DATEDIF(Table1[[#This Row],[Customer_Since]],TODAY(),"Y")</f>
        <v>3</v>
      </c>
      <c r="P47" s="12">
        <f ca="1">DATEDIF(Table1[[#This Row],[Date]],TODAY(),"M")</f>
        <v>20</v>
      </c>
      <c r="Q47" s="12" t="str">
        <f ca="1">IF(Table1[[#This Row],[Months_Since_Purchase]]&gt;12,"Inactive","Active")</f>
        <v>Inactive</v>
      </c>
      <c r="R47" s="14">
        <f>EOMONTH(Table1[[#This Row],[Date]],0)</f>
        <v>45473</v>
      </c>
      <c r="S47" s="13" t="str">
        <f>IF(Table1[[#This Row],[Total_Amount]]&gt;=700,"High",
 IF(Table1[[#This Row],[Total_Amount]]&gt;=300,"Medium","Low"))</f>
        <v>Low</v>
      </c>
      <c r="T47" s="13">
        <f>Table1[[#This Row],[Total_Amount]]*(1-$AC$8)*0.3</f>
        <v>65.442813195389931</v>
      </c>
      <c r="U47" s="13">
        <f t="shared" si="0"/>
        <v>6169.7400000000007</v>
      </c>
      <c r="V47" s="13" t="str">
        <f>IF(Table1[[#This Row],[Customer_Total_Spend]]&gt;5000,"Yes","No")</f>
        <v>Yes</v>
      </c>
      <c r="W47" s="13">
        <f t="shared" si="1"/>
        <v>35</v>
      </c>
    </row>
    <row r="48" spans="1:28" ht="15" thickBot="1" x14ac:dyDescent="0.35">
      <c r="A48" s="3" t="s">
        <v>161</v>
      </c>
      <c r="B48" s="8">
        <v>45452</v>
      </c>
      <c r="C48" s="4" t="s">
        <v>162</v>
      </c>
      <c r="D48" s="4" t="s">
        <v>163</v>
      </c>
      <c r="E48" s="4" t="s">
        <v>31</v>
      </c>
      <c r="F48" s="4" t="s">
        <v>32</v>
      </c>
      <c r="G48" s="4" t="s">
        <v>33</v>
      </c>
      <c r="H48" s="38">
        <v>4</v>
      </c>
      <c r="I48" s="4">
        <v>59.99</v>
      </c>
      <c r="J48" s="4" t="s">
        <v>20</v>
      </c>
      <c r="K48" s="4" t="s">
        <v>63</v>
      </c>
      <c r="L48" s="4" t="s">
        <v>36</v>
      </c>
      <c r="M48" s="8">
        <v>44435</v>
      </c>
      <c r="N48" s="34">
        <v>239.96</v>
      </c>
      <c r="O48" s="4">
        <f ca="1">DATEDIF(Table1[[#This Row],[Customer_Since]],TODAY(),"Y")</f>
        <v>4</v>
      </c>
      <c r="P48" s="12">
        <f ca="1">DATEDIF(Table1[[#This Row],[Date]],TODAY(),"M")</f>
        <v>20</v>
      </c>
      <c r="Q48" s="12" t="str">
        <f ca="1">IF(Table1[[#This Row],[Months_Since_Purchase]]&gt;12,"Inactive","Active")</f>
        <v>Inactive</v>
      </c>
      <c r="R48" s="14">
        <f>EOMONTH(Table1[[#This Row],[Date]],0)</f>
        <v>45473</v>
      </c>
      <c r="S48" s="13" t="str">
        <f>IF(Table1[[#This Row],[Total_Amount]]&gt;=700,"High",
 IF(Table1[[#This Row],[Total_Amount]]&gt;=300,"Medium","Low"))</f>
        <v>Low</v>
      </c>
      <c r="T48" s="13">
        <f>Table1[[#This Row],[Total_Amount]]*(1-$AC$8)*0.3</f>
        <v>52.349014782204712</v>
      </c>
      <c r="U48" s="13">
        <f t="shared" si="0"/>
        <v>239.96</v>
      </c>
      <c r="V48" s="13" t="str">
        <f>IF(Table1[[#This Row],[Customer_Total_Spend]]&gt;5000,"Yes","No")</f>
        <v>No</v>
      </c>
      <c r="W48" s="13">
        <f t="shared" si="1"/>
        <v>29</v>
      </c>
    </row>
    <row r="49" spans="1:23" ht="15" thickBot="1" x14ac:dyDescent="0.35">
      <c r="A49" s="3" t="s">
        <v>164</v>
      </c>
      <c r="B49" s="8">
        <v>45456</v>
      </c>
      <c r="C49" s="4" t="s">
        <v>129</v>
      </c>
      <c r="D49" s="4" t="s">
        <v>130</v>
      </c>
      <c r="E49" s="4" t="s">
        <v>117</v>
      </c>
      <c r="F49" s="4" t="s">
        <v>118</v>
      </c>
      <c r="G49" s="4" t="s">
        <v>19</v>
      </c>
      <c r="H49" s="38">
        <v>5</v>
      </c>
      <c r="I49" s="4">
        <v>89.99</v>
      </c>
      <c r="J49" s="4" t="s">
        <v>20</v>
      </c>
      <c r="K49" s="4" t="s">
        <v>21</v>
      </c>
      <c r="L49" s="4" t="s">
        <v>27</v>
      </c>
      <c r="M49" s="8">
        <v>44579</v>
      </c>
      <c r="N49" s="34">
        <v>449.95</v>
      </c>
      <c r="O49" s="4">
        <f ca="1">DATEDIF(Table1[[#This Row],[Customer_Since]],TODAY(),"Y")</f>
        <v>4</v>
      </c>
      <c r="P49" s="12">
        <f ca="1">DATEDIF(Table1[[#This Row],[Date]],TODAY(),"M")</f>
        <v>20</v>
      </c>
      <c r="Q49" s="12" t="str">
        <f ca="1">IF(Table1[[#This Row],[Months_Since_Purchase]]&gt;12,"Inactive","Active")</f>
        <v>Inactive</v>
      </c>
      <c r="R49" s="14">
        <f>EOMONTH(Table1[[#This Row],[Date]],0)</f>
        <v>45473</v>
      </c>
      <c r="S49" s="13" t="str">
        <f>IF(Table1[[#This Row],[Total_Amount]]&gt;=700,"High",
 IF(Table1[[#This Row],[Total_Amount]]&gt;=300,"Medium","Low"))</f>
        <v>Medium</v>
      </c>
      <c r="T49" s="13">
        <f>Table1[[#This Row],[Total_Amount]]*(1-$AC$8)*0.3</f>
        <v>98.159856647995539</v>
      </c>
      <c r="U49" s="13">
        <f t="shared" si="0"/>
        <v>2039.8000000000002</v>
      </c>
      <c r="V49" s="13" t="str">
        <f>IF(Table1[[#This Row],[Customer_Total_Spend]]&gt;5000,"Yes","No")</f>
        <v>No</v>
      </c>
      <c r="W49" s="13">
        <f t="shared" si="1"/>
        <v>34</v>
      </c>
    </row>
    <row r="50" spans="1:23" ht="15" thickBot="1" x14ac:dyDescent="0.35">
      <c r="A50" s="3" t="s">
        <v>165</v>
      </c>
      <c r="B50" s="8">
        <v>45459</v>
      </c>
      <c r="C50" s="4" t="s">
        <v>99</v>
      </c>
      <c r="D50" s="4" t="s">
        <v>100</v>
      </c>
      <c r="E50" s="4" t="s">
        <v>117</v>
      </c>
      <c r="F50" s="4" t="s">
        <v>118</v>
      </c>
      <c r="G50" s="4" t="s">
        <v>19</v>
      </c>
      <c r="H50" s="38">
        <v>2</v>
      </c>
      <c r="I50" s="4">
        <v>89.99</v>
      </c>
      <c r="J50" s="4" t="s">
        <v>26</v>
      </c>
      <c r="K50" s="4" t="s">
        <v>35</v>
      </c>
      <c r="L50" s="4" t="s">
        <v>27</v>
      </c>
      <c r="M50" s="8">
        <v>44471</v>
      </c>
      <c r="N50" s="34">
        <v>179.98</v>
      </c>
      <c r="O50" s="4">
        <f ca="1">DATEDIF(Table1[[#This Row],[Customer_Since]],TODAY(),"Y")</f>
        <v>4</v>
      </c>
      <c r="P50" s="12">
        <f ca="1">DATEDIF(Table1[[#This Row],[Date]],TODAY(),"M")</f>
        <v>20</v>
      </c>
      <c r="Q50" s="12" t="str">
        <f ca="1">IF(Table1[[#This Row],[Months_Since_Purchase]]&gt;12,"Inactive","Active")</f>
        <v>Inactive</v>
      </c>
      <c r="R50" s="14">
        <f>EOMONTH(Table1[[#This Row],[Date]],0)</f>
        <v>45473</v>
      </c>
      <c r="S50" s="13" t="str">
        <f>IF(Table1[[#This Row],[Total_Amount]]&gt;=700,"High",
 IF(Table1[[#This Row],[Total_Amount]]&gt;=300,"Medium","Low"))</f>
        <v>Low</v>
      </c>
      <c r="T50" s="13">
        <f>Table1[[#This Row],[Total_Amount]]*(1-$AC$8)*0.3</f>
        <v>39.263942659198214</v>
      </c>
      <c r="U50" s="13">
        <f t="shared" si="0"/>
        <v>9799.73</v>
      </c>
      <c r="V50" s="13" t="str">
        <f>IF(Table1[[#This Row],[Customer_Total_Spend]]&gt;5000,"Yes","No")</f>
        <v>Yes</v>
      </c>
      <c r="W50" s="13">
        <f t="shared" si="1"/>
        <v>34</v>
      </c>
    </row>
    <row r="51" spans="1:23" ht="15" thickBot="1" x14ac:dyDescent="0.35">
      <c r="A51" s="3" t="s">
        <v>166</v>
      </c>
      <c r="B51" s="8">
        <v>45459</v>
      </c>
      <c r="C51" s="4" t="s">
        <v>15</v>
      </c>
      <c r="D51" s="4" t="s">
        <v>16</v>
      </c>
      <c r="E51" s="4" t="s">
        <v>61</v>
      </c>
      <c r="F51" s="4" t="s">
        <v>62</v>
      </c>
      <c r="G51" s="4" t="s">
        <v>19</v>
      </c>
      <c r="H51" s="38">
        <v>5</v>
      </c>
      <c r="I51" s="4">
        <v>899.99</v>
      </c>
      <c r="J51" s="4" t="s">
        <v>26</v>
      </c>
      <c r="K51" s="4" t="s">
        <v>35</v>
      </c>
      <c r="L51" s="4" t="s">
        <v>36</v>
      </c>
      <c r="M51" s="8">
        <v>44974</v>
      </c>
      <c r="N51" s="34">
        <v>4499.95</v>
      </c>
      <c r="O51" s="4">
        <f ca="1">DATEDIF(Table1[[#This Row],[Customer_Since]],TODAY(),"Y")</f>
        <v>3</v>
      </c>
      <c r="P51" s="12">
        <f ca="1">DATEDIF(Table1[[#This Row],[Date]],TODAY(),"M")</f>
        <v>20</v>
      </c>
      <c r="Q51" s="12" t="str">
        <f ca="1">IF(Table1[[#This Row],[Months_Since_Purchase]]&gt;12,"Inactive","Active")</f>
        <v>Inactive</v>
      </c>
      <c r="R51" s="14">
        <f>EOMONTH(Table1[[#This Row],[Date]],0)</f>
        <v>45473</v>
      </c>
      <c r="S51" s="13" t="str">
        <f>IF(Table1[[#This Row],[Total_Amount]]&gt;=700,"High",
 IF(Table1[[#This Row],[Total_Amount]]&gt;=300,"Medium","Low"))</f>
        <v>High</v>
      </c>
      <c r="T51" s="13">
        <f>Table1[[#This Row],[Total_Amount]]*(1-$AC$8)*0.3</f>
        <v>981.69673724446602</v>
      </c>
      <c r="U51" s="13">
        <f t="shared" si="0"/>
        <v>8309.739999999998</v>
      </c>
      <c r="V51" s="13" t="str">
        <f>IF(Table1[[#This Row],[Customer_Total_Spend]]&gt;5000,"Yes","No")</f>
        <v>Yes</v>
      </c>
      <c r="W51" s="13">
        <f t="shared" si="1"/>
        <v>24</v>
      </c>
    </row>
    <row r="52" spans="1:23" ht="15" thickBot="1" x14ac:dyDescent="0.35">
      <c r="A52" s="3" t="s">
        <v>167</v>
      </c>
      <c r="B52" s="8">
        <v>45459</v>
      </c>
      <c r="C52" s="4" t="s">
        <v>123</v>
      </c>
      <c r="D52" s="4" t="s">
        <v>124</v>
      </c>
      <c r="E52" s="4" t="s">
        <v>61</v>
      </c>
      <c r="F52" s="4" t="s">
        <v>62</v>
      </c>
      <c r="G52" s="4" t="s">
        <v>19</v>
      </c>
      <c r="H52" s="38">
        <v>5</v>
      </c>
      <c r="I52" s="4">
        <v>899.99</v>
      </c>
      <c r="J52" s="4" t="s">
        <v>34</v>
      </c>
      <c r="K52" s="4" t="s">
        <v>63</v>
      </c>
      <c r="L52" s="4" t="s">
        <v>27</v>
      </c>
      <c r="M52" s="8">
        <v>45278</v>
      </c>
      <c r="N52" s="34">
        <v>4499.95</v>
      </c>
      <c r="O52" s="4">
        <f ca="1">DATEDIF(Table1[[#This Row],[Customer_Since]],TODAY(),"Y")</f>
        <v>2</v>
      </c>
      <c r="P52" s="12">
        <f ca="1">DATEDIF(Table1[[#This Row],[Date]],TODAY(),"M")</f>
        <v>20</v>
      </c>
      <c r="Q52" s="12" t="str">
        <f ca="1">IF(Table1[[#This Row],[Months_Since_Purchase]]&gt;12,"Inactive","Active")</f>
        <v>Inactive</v>
      </c>
      <c r="R52" s="14">
        <f>EOMONTH(Table1[[#This Row],[Date]],0)</f>
        <v>45473</v>
      </c>
      <c r="S52" s="13" t="str">
        <f>IF(Table1[[#This Row],[Total_Amount]]&gt;=700,"High",
 IF(Table1[[#This Row],[Total_Amount]]&gt;=300,"Medium","Low"))</f>
        <v>High</v>
      </c>
      <c r="T52" s="13">
        <f>Table1[[#This Row],[Total_Amount]]*(1-$AC$8)*0.3</f>
        <v>981.69673724446602</v>
      </c>
      <c r="U52" s="13">
        <f t="shared" si="0"/>
        <v>11919.769999999999</v>
      </c>
      <c r="V52" s="13" t="str">
        <f>IF(Table1[[#This Row],[Customer_Total_Spend]]&gt;5000,"Yes","No")</f>
        <v>Yes</v>
      </c>
      <c r="W52" s="13">
        <f t="shared" si="1"/>
        <v>24</v>
      </c>
    </row>
    <row r="53" spans="1:23" ht="15" thickBot="1" x14ac:dyDescent="0.35">
      <c r="A53" s="3" t="s">
        <v>168</v>
      </c>
      <c r="B53" s="8">
        <v>45460</v>
      </c>
      <c r="C53" s="4" t="s">
        <v>158</v>
      </c>
      <c r="D53" s="4" t="s">
        <v>159</v>
      </c>
      <c r="E53" s="4" t="s">
        <v>31</v>
      </c>
      <c r="F53" s="4" t="s">
        <v>32</v>
      </c>
      <c r="G53" s="4" t="s">
        <v>33</v>
      </c>
      <c r="H53" s="38">
        <v>1</v>
      </c>
      <c r="I53" s="4">
        <v>59.99</v>
      </c>
      <c r="J53" s="4" t="s">
        <v>57</v>
      </c>
      <c r="K53" s="4" t="s">
        <v>50</v>
      </c>
      <c r="L53" s="4" t="s">
        <v>27</v>
      </c>
      <c r="M53" s="8">
        <v>45190</v>
      </c>
      <c r="N53" s="34">
        <v>59.99</v>
      </c>
      <c r="O53" s="4">
        <f ca="1">DATEDIF(Table1[[#This Row],[Customer_Since]],TODAY(),"Y")</f>
        <v>2</v>
      </c>
      <c r="P53" s="12">
        <f ca="1">DATEDIF(Table1[[#This Row],[Date]],TODAY(),"M")</f>
        <v>20</v>
      </c>
      <c r="Q53" s="12" t="str">
        <f ca="1">IF(Table1[[#This Row],[Months_Since_Purchase]]&gt;12,"Inactive","Active")</f>
        <v>Inactive</v>
      </c>
      <c r="R53" s="14">
        <f>EOMONTH(Table1[[#This Row],[Date]],0)</f>
        <v>45473</v>
      </c>
      <c r="S53" s="13" t="str">
        <f>IF(Table1[[#This Row],[Total_Amount]]&gt;=700,"High",
 IF(Table1[[#This Row],[Total_Amount]]&gt;=300,"Medium","Low"))</f>
        <v>Low</v>
      </c>
      <c r="T53" s="13">
        <f>Table1[[#This Row],[Total_Amount]]*(1-$AC$8)*0.3</f>
        <v>13.087253695551178</v>
      </c>
      <c r="U53" s="13">
        <f t="shared" si="0"/>
        <v>5649.84</v>
      </c>
      <c r="V53" s="13" t="str">
        <f>IF(Table1[[#This Row],[Customer_Total_Spend]]&gt;5000,"Yes","No")</f>
        <v>Yes</v>
      </c>
      <c r="W53" s="13">
        <f t="shared" si="1"/>
        <v>29</v>
      </c>
    </row>
    <row r="54" spans="1:23" ht="15" thickBot="1" x14ac:dyDescent="0.35">
      <c r="A54" s="3" t="s">
        <v>169</v>
      </c>
      <c r="B54" s="8">
        <v>45460</v>
      </c>
      <c r="C54" s="4" t="s">
        <v>141</v>
      </c>
      <c r="D54" s="4" t="s">
        <v>142</v>
      </c>
      <c r="E54" s="4" t="s">
        <v>105</v>
      </c>
      <c r="F54" s="4" t="s">
        <v>106</v>
      </c>
      <c r="G54" s="4" t="s">
        <v>46</v>
      </c>
      <c r="H54" s="38">
        <v>2</v>
      </c>
      <c r="I54" s="4">
        <v>299.99</v>
      </c>
      <c r="J54" s="4" t="s">
        <v>57</v>
      </c>
      <c r="K54" s="4" t="s">
        <v>63</v>
      </c>
      <c r="L54" s="4" t="s">
        <v>36</v>
      </c>
      <c r="M54" s="8">
        <v>45253</v>
      </c>
      <c r="N54" s="34">
        <v>599.98</v>
      </c>
      <c r="O54" s="4">
        <f ca="1">DATEDIF(Table1[[#This Row],[Customer_Since]],TODAY(),"Y")</f>
        <v>2</v>
      </c>
      <c r="P54" s="12">
        <f ca="1">DATEDIF(Table1[[#This Row],[Date]],TODAY(),"M")</f>
        <v>20</v>
      </c>
      <c r="Q54" s="12" t="str">
        <f ca="1">IF(Table1[[#This Row],[Months_Since_Purchase]]&gt;12,"Inactive","Active")</f>
        <v>Inactive</v>
      </c>
      <c r="R54" s="14">
        <f>EOMONTH(Table1[[#This Row],[Date]],0)</f>
        <v>45473</v>
      </c>
      <c r="S54" s="13" t="str">
        <f>IF(Table1[[#This Row],[Total_Amount]]&gt;=700,"High",
 IF(Table1[[#This Row],[Total_Amount]]&gt;=300,"Medium","Low"))</f>
        <v>Medium</v>
      </c>
      <c r="T54" s="13">
        <f>Table1[[#This Row],[Total_Amount]]*(1-$AC$8)*0.3</f>
        <v>130.88998953586923</v>
      </c>
      <c r="U54" s="13">
        <f t="shared" si="0"/>
        <v>4739.8500000000004</v>
      </c>
      <c r="V54" s="13" t="str">
        <f>IF(Table1[[#This Row],[Customer_Total_Spend]]&gt;5000,"Yes","No")</f>
        <v>No</v>
      </c>
      <c r="W54" s="13">
        <f t="shared" si="1"/>
        <v>26</v>
      </c>
    </row>
    <row r="55" spans="1:23" ht="15" thickBot="1" x14ac:dyDescent="0.35">
      <c r="A55" s="3" t="s">
        <v>170</v>
      </c>
      <c r="B55" s="8">
        <v>45468</v>
      </c>
      <c r="C55" s="4" t="s">
        <v>171</v>
      </c>
      <c r="D55" s="4" t="s">
        <v>172</v>
      </c>
      <c r="E55" s="4" t="s">
        <v>117</v>
      </c>
      <c r="F55" s="4" t="s">
        <v>118</v>
      </c>
      <c r="G55" s="4" t="s">
        <v>19</v>
      </c>
      <c r="H55" s="38">
        <v>4</v>
      </c>
      <c r="I55" s="4">
        <v>89.99</v>
      </c>
      <c r="J55" s="4" t="s">
        <v>57</v>
      </c>
      <c r="K55" s="4" t="s">
        <v>35</v>
      </c>
      <c r="L55" s="4" t="s">
        <v>22</v>
      </c>
      <c r="M55" s="8">
        <v>45281</v>
      </c>
      <c r="N55" s="34">
        <v>359.96</v>
      </c>
      <c r="O55" s="4">
        <f ca="1">DATEDIF(Table1[[#This Row],[Customer_Since]],TODAY(),"Y")</f>
        <v>2</v>
      </c>
      <c r="P55" s="12">
        <f ca="1">DATEDIF(Table1[[#This Row],[Date]],TODAY(),"M")</f>
        <v>20</v>
      </c>
      <c r="Q55" s="12" t="str">
        <f ca="1">IF(Table1[[#This Row],[Months_Since_Purchase]]&gt;12,"Inactive","Active")</f>
        <v>Inactive</v>
      </c>
      <c r="R55" s="14">
        <f>EOMONTH(Table1[[#This Row],[Date]],0)</f>
        <v>45473</v>
      </c>
      <c r="S55" s="13" t="str">
        <f>IF(Table1[[#This Row],[Total_Amount]]&gt;=700,"High",
 IF(Table1[[#This Row],[Total_Amount]]&gt;=300,"Medium","Low"))</f>
        <v>Medium</v>
      </c>
      <c r="T55" s="13">
        <f>Table1[[#This Row],[Total_Amount]]*(1-$AC$8)*0.3</f>
        <v>78.527885318396429</v>
      </c>
      <c r="U55" s="13">
        <f t="shared" si="0"/>
        <v>3669.8500000000004</v>
      </c>
      <c r="V55" s="13" t="str">
        <f>IF(Table1[[#This Row],[Customer_Total_Spend]]&gt;5000,"Yes","No")</f>
        <v>No</v>
      </c>
      <c r="W55" s="13">
        <f t="shared" si="1"/>
        <v>34</v>
      </c>
    </row>
    <row r="56" spans="1:23" ht="15" thickBot="1" x14ac:dyDescent="0.35">
      <c r="A56" s="3" t="s">
        <v>173</v>
      </c>
      <c r="B56" s="8">
        <v>45469</v>
      </c>
      <c r="C56" s="4" t="s">
        <v>29</v>
      </c>
      <c r="D56" s="4" t="s">
        <v>30</v>
      </c>
      <c r="E56" s="4" t="s">
        <v>114</v>
      </c>
      <c r="F56" s="4" t="s">
        <v>115</v>
      </c>
      <c r="G56" s="4" t="s">
        <v>33</v>
      </c>
      <c r="H56" s="38">
        <v>1</v>
      </c>
      <c r="I56" s="4">
        <v>79.989999999999995</v>
      </c>
      <c r="J56" s="4" t="s">
        <v>34</v>
      </c>
      <c r="K56" s="4" t="s">
        <v>21</v>
      </c>
      <c r="L56" s="4" t="s">
        <v>27</v>
      </c>
      <c r="M56" s="8">
        <v>45352</v>
      </c>
      <c r="N56" s="34">
        <v>79.989999999999995</v>
      </c>
      <c r="O56" s="4">
        <f ca="1">DATEDIF(Table1[[#This Row],[Customer_Since]],TODAY(),"Y")</f>
        <v>2</v>
      </c>
      <c r="P56" s="12">
        <f ca="1">DATEDIF(Table1[[#This Row],[Date]],TODAY(),"M")</f>
        <v>20</v>
      </c>
      <c r="Q56" s="12" t="str">
        <f ca="1">IF(Table1[[#This Row],[Months_Since_Purchase]]&gt;12,"Inactive","Active")</f>
        <v>Inactive</v>
      </c>
      <c r="R56" s="14">
        <f>EOMONTH(Table1[[#This Row],[Date]],0)</f>
        <v>45473</v>
      </c>
      <c r="S56" s="13" t="str">
        <f>IF(Table1[[#This Row],[Total_Amount]]&gt;=700,"High",
 IF(Table1[[#This Row],[Total_Amount]]&gt;=300,"Medium","Low"))</f>
        <v>Low</v>
      </c>
      <c r="T56" s="13">
        <f>Table1[[#This Row],[Total_Amount]]*(1-$AC$8)*0.3</f>
        <v>17.450398784916462</v>
      </c>
      <c r="U56" s="13">
        <f t="shared" si="0"/>
        <v>3259.87</v>
      </c>
      <c r="V56" s="13" t="str">
        <f>IF(Table1[[#This Row],[Customer_Total_Spend]]&gt;5000,"Yes","No")</f>
        <v>No</v>
      </c>
      <c r="W56" s="13">
        <f t="shared" si="1"/>
        <v>14</v>
      </c>
    </row>
    <row r="57" spans="1:23" ht="15" thickBot="1" x14ac:dyDescent="0.35">
      <c r="A57" s="3" t="s">
        <v>174</v>
      </c>
      <c r="B57" s="8">
        <v>45469</v>
      </c>
      <c r="C57" s="4" t="s">
        <v>59</v>
      </c>
      <c r="D57" s="4" t="s">
        <v>60</v>
      </c>
      <c r="E57" s="4" t="s">
        <v>117</v>
      </c>
      <c r="F57" s="4" t="s">
        <v>118</v>
      </c>
      <c r="G57" s="4" t="s">
        <v>19</v>
      </c>
      <c r="H57" s="38">
        <v>2</v>
      </c>
      <c r="I57" s="4">
        <v>89.99</v>
      </c>
      <c r="J57" s="4" t="s">
        <v>20</v>
      </c>
      <c r="K57" s="4" t="s">
        <v>50</v>
      </c>
      <c r="L57" s="4" t="s">
        <v>22</v>
      </c>
      <c r="M57" s="8">
        <v>44438</v>
      </c>
      <c r="N57" s="34">
        <v>179.98</v>
      </c>
      <c r="O57" s="4">
        <f ca="1">DATEDIF(Table1[[#This Row],[Customer_Since]],TODAY(),"Y")</f>
        <v>4</v>
      </c>
      <c r="P57" s="12">
        <f ca="1">DATEDIF(Table1[[#This Row],[Date]],TODAY(),"M")</f>
        <v>20</v>
      </c>
      <c r="Q57" s="12" t="str">
        <f ca="1">IF(Table1[[#This Row],[Months_Since_Purchase]]&gt;12,"Inactive","Active")</f>
        <v>Inactive</v>
      </c>
      <c r="R57" s="14">
        <f>EOMONTH(Table1[[#This Row],[Date]],0)</f>
        <v>45473</v>
      </c>
      <c r="S57" s="13" t="str">
        <f>IF(Table1[[#This Row],[Total_Amount]]&gt;=700,"High",
 IF(Table1[[#This Row],[Total_Amount]]&gt;=300,"Medium","Low"))</f>
        <v>Low</v>
      </c>
      <c r="T57" s="13">
        <f>Table1[[#This Row],[Total_Amount]]*(1-$AC$8)*0.3</f>
        <v>39.263942659198214</v>
      </c>
      <c r="U57" s="13">
        <f t="shared" si="0"/>
        <v>3509.8999999999996</v>
      </c>
      <c r="V57" s="13" t="str">
        <f>IF(Table1[[#This Row],[Customer_Total_Spend]]&gt;5000,"Yes","No")</f>
        <v>No</v>
      </c>
      <c r="W57" s="13">
        <f t="shared" si="1"/>
        <v>34</v>
      </c>
    </row>
    <row r="58" spans="1:23" ht="15" thickBot="1" x14ac:dyDescent="0.35">
      <c r="A58" s="3" t="s">
        <v>175</v>
      </c>
      <c r="B58" s="8">
        <v>45471</v>
      </c>
      <c r="C58" s="4" t="s">
        <v>38</v>
      </c>
      <c r="D58" s="4" t="s">
        <v>39</v>
      </c>
      <c r="E58" s="4" t="s">
        <v>80</v>
      </c>
      <c r="F58" s="4" t="s">
        <v>81</v>
      </c>
      <c r="G58" s="4" t="s">
        <v>19</v>
      </c>
      <c r="H58" s="38">
        <v>3</v>
      </c>
      <c r="I58" s="4">
        <v>699.99</v>
      </c>
      <c r="J58" s="4" t="s">
        <v>26</v>
      </c>
      <c r="K58" s="4" t="s">
        <v>63</v>
      </c>
      <c r="L58" s="4" t="s">
        <v>27</v>
      </c>
      <c r="M58" s="8">
        <v>45102</v>
      </c>
      <c r="N58" s="34">
        <v>2099.9699999999998</v>
      </c>
      <c r="O58" s="4">
        <f ca="1">DATEDIF(Table1[[#This Row],[Customer_Since]],TODAY(),"Y")</f>
        <v>2</v>
      </c>
      <c r="P58" s="12">
        <f ca="1">DATEDIF(Table1[[#This Row],[Date]],TODAY(),"M")</f>
        <v>20</v>
      </c>
      <c r="Q58" s="12" t="str">
        <f ca="1">IF(Table1[[#This Row],[Months_Since_Purchase]]&gt;12,"Inactive","Active")</f>
        <v>Inactive</v>
      </c>
      <c r="R58" s="14">
        <f>EOMONTH(Table1[[#This Row],[Date]],0)</f>
        <v>45473</v>
      </c>
      <c r="S58" s="13" t="str">
        <f>IF(Table1[[#This Row],[Total_Amount]]&gt;=700,"High",
 IF(Table1[[#This Row],[Total_Amount]]&gt;=300,"Medium","Low"))</f>
        <v>High</v>
      </c>
      <c r="T58" s="13">
        <f>Table1[[#This Row],[Total_Amount]]*(1-$AC$8)*0.3</f>
        <v>458.12368966572097</v>
      </c>
      <c r="U58" s="13">
        <f t="shared" si="0"/>
        <v>4309.8099999999995</v>
      </c>
      <c r="V58" s="13" t="str">
        <f>IF(Table1[[#This Row],[Customer_Total_Spend]]&gt;5000,"Yes","No")</f>
        <v>No</v>
      </c>
      <c r="W58" s="13">
        <f t="shared" si="1"/>
        <v>31</v>
      </c>
    </row>
    <row r="59" spans="1:23" ht="15" thickBot="1" x14ac:dyDescent="0.35">
      <c r="A59" s="3" t="s">
        <v>176</v>
      </c>
      <c r="B59" s="8">
        <v>45471</v>
      </c>
      <c r="C59" s="4" t="s">
        <v>99</v>
      </c>
      <c r="D59" s="4" t="s">
        <v>100</v>
      </c>
      <c r="E59" s="4" t="s">
        <v>61</v>
      </c>
      <c r="F59" s="4" t="s">
        <v>62</v>
      </c>
      <c r="G59" s="4" t="s">
        <v>19</v>
      </c>
      <c r="H59" s="38">
        <v>4</v>
      </c>
      <c r="I59" s="4">
        <v>899.99</v>
      </c>
      <c r="J59" s="4" t="s">
        <v>26</v>
      </c>
      <c r="K59" s="4" t="s">
        <v>63</v>
      </c>
      <c r="L59" s="4" t="s">
        <v>27</v>
      </c>
      <c r="M59" s="8">
        <v>44993</v>
      </c>
      <c r="N59" s="34">
        <v>3599.96</v>
      </c>
      <c r="O59" s="4">
        <f ca="1">DATEDIF(Table1[[#This Row],[Customer_Since]],TODAY(),"Y")</f>
        <v>2</v>
      </c>
      <c r="P59" s="12">
        <f ca="1">DATEDIF(Table1[[#This Row],[Date]],TODAY(),"M")</f>
        <v>20</v>
      </c>
      <c r="Q59" s="12" t="str">
        <f ca="1">IF(Table1[[#This Row],[Months_Since_Purchase]]&gt;12,"Inactive","Active")</f>
        <v>Inactive</v>
      </c>
      <c r="R59" s="14">
        <f>EOMONTH(Table1[[#This Row],[Date]],0)</f>
        <v>45473</v>
      </c>
      <c r="S59" s="13" t="str">
        <f>IF(Table1[[#This Row],[Total_Amount]]&gt;=700,"High",
 IF(Table1[[#This Row],[Total_Amount]]&gt;=300,"Medium","Low"))</f>
        <v>High</v>
      </c>
      <c r="T59" s="13">
        <f>Table1[[#This Row],[Total_Amount]]*(1-$AC$8)*0.3</f>
        <v>785.35738979557289</v>
      </c>
      <c r="U59" s="13">
        <f t="shared" si="0"/>
        <v>9799.73</v>
      </c>
      <c r="V59" s="13" t="str">
        <f>IF(Table1[[#This Row],[Customer_Total_Spend]]&gt;5000,"Yes","No")</f>
        <v>Yes</v>
      </c>
      <c r="W59" s="13">
        <f t="shared" si="1"/>
        <v>24</v>
      </c>
    </row>
    <row r="60" spans="1:23" ht="15" thickBot="1" x14ac:dyDescent="0.35">
      <c r="A60" s="3" t="s">
        <v>177</v>
      </c>
      <c r="B60" s="8">
        <v>45472</v>
      </c>
      <c r="C60" s="4" t="s">
        <v>120</v>
      </c>
      <c r="D60" s="4" t="s">
        <v>121</v>
      </c>
      <c r="E60" s="4" t="s">
        <v>44</v>
      </c>
      <c r="F60" s="4" t="s">
        <v>45</v>
      </c>
      <c r="G60" s="4" t="s">
        <v>46</v>
      </c>
      <c r="H60" s="38">
        <v>1</v>
      </c>
      <c r="I60" s="4">
        <v>149.99</v>
      </c>
      <c r="J60" s="4" t="s">
        <v>34</v>
      </c>
      <c r="K60" s="4" t="s">
        <v>63</v>
      </c>
      <c r="L60" s="4" t="s">
        <v>22</v>
      </c>
      <c r="M60" s="8">
        <v>44851</v>
      </c>
      <c r="N60" s="34">
        <v>149.99</v>
      </c>
      <c r="O60" s="4">
        <f ca="1">DATEDIF(Table1[[#This Row],[Customer_Since]],TODAY(),"Y")</f>
        <v>3</v>
      </c>
      <c r="P60" s="12">
        <f ca="1">DATEDIF(Table1[[#This Row],[Date]],TODAY(),"M")</f>
        <v>20</v>
      </c>
      <c r="Q60" s="12" t="str">
        <f ca="1">IF(Table1[[#This Row],[Months_Since_Purchase]]&gt;12,"Inactive","Active")</f>
        <v>Inactive</v>
      </c>
      <c r="R60" s="14">
        <f>EOMONTH(Table1[[#This Row],[Date]],0)</f>
        <v>45473</v>
      </c>
      <c r="S60" s="13" t="str">
        <f>IF(Table1[[#This Row],[Total_Amount]]&gt;=700,"High",
 IF(Table1[[#This Row],[Total_Amount]]&gt;=300,"Medium","Low"))</f>
        <v>Low</v>
      </c>
      <c r="T60" s="13">
        <f>Table1[[#This Row],[Total_Amount]]*(1-$AC$8)*0.3</f>
        <v>32.721406597694966</v>
      </c>
      <c r="U60" s="13">
        <f t="shared" si="0"/>
        <v>6459.79</v>
      </c>
      <c r="V60" s="13" t="str">
        <f>IF(Table1[[#This Row],[Customer_Total_Spend]]&gt;5000,"Yes","No")</f>
        <v>Yes</v>
      </c>
      <c r="W60" s="13">
        <f t="shared" si="1"/>
        <v>35</v>
      </c>
    </row>
    <row r="61" spans="1:23" ht="15" thickBot="1" x14ac:dyDescent="0.35">
      <c r="A61" s="3" t="s">
        <v>178</v>
      </c>
      <c r="B61" s="8">
        <v>45474</v>
      </c>
      <c r="C61" s="4" t="s">
        <v>132</v>
      </c>
      <c r="D61" s="4" t="s">
        <v>133</v>
      </c>
      <c r="E61" s="4" t="s">
        <v>117</v>
      </c>
      <c r="F61" s="4" t="s">
        <v>118</v>
      </c>
      <c r="G61" s="4" t="s">
        <v>19</v>
      </c>
      <c r="H61" s="38">
        <v>2</v>
      </c>
      <c r="I61" s="4">
        <v>89.99</v>
      </c>
      <c r="J61" s="4" t="s">
        <v>34</v>
      </c>
      <c r="K61" s="4" t="s">
        <v>21</v>
      </c>
      <c r="L61" s="4" t="s">
        <v>27</v>
      </c>
      <c r="M61" s="8">
        <v>45275</v>
      </c>
      <c r="N61" s="34">
        <v>179.98</v>
      </c>
      <c r="O61" s="4">
        <f ca="1">DATEDIF(Table1[[#This Row],[Customer_Since]],TODAY(),"Y")</f>
        <v>2</v>
      </c>
      <c r="P61" s="12">
        <f ca="1">DATEDIF(Table1[[#This Row],[Date]],TODAY(),"M")</f>
        <v>20</v>
      </c>
      <c r="Q61" s="12" t="str">
        <f ca="1">IF(Table1[[#This Row],[Months_Since_Purchase]]&gt;12,"Inactive","Active")</f>
        <v>Inactive</v>
      </c>
      <c r="R61" s="14">
        <f>EOMONTH(Table1[[#This Row],[Date]],0)</f>
        <v>45504</v>
      </c>
      <c r="S61" s="13" t="str">
        <f>IF(Table1[[#This Row],[Total_Amount]]&gt;=700,"High",
 IF(Table1[[#This Row],[Total_Amount]]&gt;=300,"Medium","Low"))</f>
        <v>Low</v>
      </c>
      <c r="T61" s="13">
        <f>Table1[[#This Row],[Total_Amount]]*(1-$AC$8)*0.3</f>
        <v>39.263942659198214</v>
      </c>
      <c r="U61" s="13">
        <f t="shared" si="0"/>
        <v>1229.8800000000001</v>
      </c>
      <c r="V61" s="13" t="str">
        <f>IF(Table1[[#This Row],[Customer_Total_Spend]]&gt;5000,"Yes","No")</f>
        <v>No</v>
      </c>
      <c r="W61" s="13">
        <f t="shared" si="1"/>
        <v>34</v>
      </c>
    </row>
    <row r="62" spans="1:23" ht="15" thickBot="1" x14ac:dyDescent="0.35">
      <c r="A62" s="3" t="s">
        <v>179</v>
      </c>
      <c r="B62" s="8">
        <v>45475</v>
      </c>
      <c r="C62" s="4" t="s">
        <v>55</v>
      </c>
      <c r="D62" s="4" t="s">
        <v>56</v>
      </c>
      <c r="E62" s="4" t="s">
        <v>117</v>
      </c>
      <c r="F62" s="4" t="s">
        <v>118</v>
      </c>
      <c r="G62" s="4" t="s">
        <v>19</v>
      </c>
      <c r="H62" s="38">
        <v>1</v>
      </c>
      <c r="I62" s="4">
        <v>89.99</v>
      </c>
      <c r="J62" s="4" t="s">
        <v>34</v>
      </c>
      <c r="K62" s="4" t="s">
        <v>50</v>
      </c>
      <c r="L62" s="4" t="s">
        <v>36</v>
      </c>
      <c r="M62" s="8">
        <v>44802</v>
      </c>
      <c r="N62" s="34">
        <v>89.99</v>
      </c>
      <c r="O62" s="4">
        <f ca="1">DATEDIF(Table1[[#This Row],[Customer_Since]],TODAY(),"Y")</f>
        <v>3</v>
      </c>
      <c r="P62" s="12">
        <f ca="1">DATEDIF(Table1[[#This Row],[Date]],TODAY(),"M")</f>
        <v>20</v>
      </c>
      <c r="Q62" s="12" t="str">
        <f ca="1">IF(Table1[[#This Row],[Months_Since_Purchase]]&gt;12,"Inactive","Active")</f>
        <v>Inactive</v>
      </c>
      <c r="R62" s="14">
        <f>EOMONTH(Table1[[#This Row],[Date]],0)</f>
        <v>45504</v>
      </c>
      <c r="S62" s="13" t="str">
        <f>IF(Table1[[#This Row],[Total_Amount]]&gt;=700,"High",
 IF(Table1[[#This Row],[Total_Amount]]&gt;=300,"Medium","Low"))</f>
        <v>Low</v>
      </c>
      <c r="T62" s="13">
        <f>Table1[[#This Row],[Total_Amount]]*(1-$AC$8)*0.3</f>
        <v>19.631971329599107</v>
      </c>
      <c r="U62" s="13">
        <f t="shared" si="0"/>
        <v>5089.7300000000005</v>
      </c>
      <c r="V62" s="13" t="str">
        <f>IF(Table1[[#This Row],[Customer_Total_Spend]]&gt;5000,"Yes","No")</f>
        <v>Yes</v>
      </c>
      <c r="W62" s="13">
        <f t="shared" si="1"/>
        <v>34</v>
      </c>
    </row>
    <row r="63" spans="1:23" ht="15" thickBot="1" x14ac:dyDescent="0.35">
      <c r="A63" s="3" t="s">
        <v>180</v>
      </c>
      <c r="B63" s="8">
        <v>45476</v>
      </c>
      <c r="C63" s="4" t="s">
        <v>68</v>
      </c>
      <c r="D63" s="4" t="s">
        <v>69</v>
      </c>
      <c r="E63" s="4" t="s">
        <v>117</v>
      </c>
      <c r="F63" s="4" t="s">
        <v>118</v>
      </c>
      <c r="G63" s="4" t="s">
        <v>19</v>
      </c>
      <c r="H63" s="38">
        <v>1</v>
      </c>
      <c r="I63" s="4">
        <v>89.99</v>
      </c>
      <c r="J63" s="4" t="s">
        <v>20</v>
      </c>
      <c r="K63" s="4" t="s">
        <v>35</v>
      </c>
      <c r="L63" s="4" t="s">
        <v>36</v>
      </c>
      <c r="M63" s="8">
        <v>44611</v>
      </c>
      <c r="N63" s="34">
        <v>89.99</v>
      </c>
      <c r="O63" s="4">
        <f ca="1">DATEDIF(Table1[[#This Row],[Customer_Since]],TODAY(),"Y")</f>
        <v>4</v>
      </c>
      <c r="P63" s="12">
        <f ca="1">DATEDIF(Table1[[#This Row],[Date]],TODAY(),"M")</f>
        <v>20</v>
      </c>
      <c r="Q63" s="12" t="str">
        <f ca="1">IF(Table1[[#This Row],[Months_Since_Purchase]]&gt;12,"Inactive","Active")</f>
        <v>Inactive</v>
      </c>
      <c r="R63" s="14">
        <f>EOMONTH(Table1[[#This Row],[Date]],0)</f>
        <v>45504</v>
      </c>
      <c r="S63" s="13" t="str">
        <f>IF(Table1[[#This Row],[Total_Amount]]&gt;=700,"High",
 IF(Table1[[#This Row],[Total_Amount]]&gt;=300,"Medium","Low"))</f>
        <v>Low</v>
      </c>
      <c r="T63" s="13">
        <f>Table1[[#This Row],[Total_Amount]]*(1-$AC$8)*0.3</f>
        <v>19.631971329599107</v>
      </c>
      <c r="U63" s="13">
        <f t="shared" si="0"/>
        <v>1979.89</v>
      </c>
      <c r="V63" s="13" t="str">
        <f>IF(Table1[[#This Row],[Customer_Total_Spend]]&gt;5000,"Yes","No")</f>
        <v>No</v>
      </c>
      <c r="W63" s="13">
        <f t="shared" si="1"/>
        <v>34</v>
      </c>
    </row>
    <row r="64" spans="1:23" ht="15" thickBot="1" x14ac:dyDescent="0.35">
      <c r="A64" s="3" t="s">
        <v>181</v>
      </c>
      <c r="B64" s="8">
        <v>45476</v>
      </c>
      <c r="C64" s="4" t="s">
        <v>182</v>
      </c>
      <c r="D64" s="4" t="s">
        <v>183</v>
      </c>
      <c r="E64" s="4" t="s">
        <v>114</v>
      </c>
      <c r="F64" s="4" t="s">
        <v>115</v>
      </c>
      <c r="G64" s="4" t="s">
        <v>33</v>
      </c>
      <c r="H64" s="38">
        <v>5</v>
      </c>
      <c r="I64" s="4">
        <v>79.989999999999995</v>
      </c>
      <c r="J64" s="4" t="s">
        <v>57</v>
      </c>
      <c r="K64" s="4" t="s">
        <v>21</v>
      </c>
      <c r="L64" s="4" t="s">
        <v>22</v>
      </c>
      <c r="M64" s="8">
        <v>44981</v>
      </c>
      <c r="N64" s="34">
        <v>399.95</v>
      </c>
      <c r="O64" s="4">
        <f ca="1">DATEDIF(Table1[[#This Row],[Customer_Since]],TODAY(),"Y")</f>
        <v>3</v>
      </c>
      <c r="P64" s="12">
        <f ca="1">DATEDIF(Table1[[#This Row],[Date]],TODAY(),"M")</f>
        <v>20</v>
      </c>
      <c r="Q64" s="12" t="str">
        <f ca="1">IF(Table1[[#This Row],[Months_Since_Purchase]]&gt;12,"Inactive","Active")</f>
        <v>Inactive</v>
      </c>
      <c r="R64" s="14">
        <f>EOMONTH(Table1[[#This Row],[Date]],0)</f>
        <v>45504</v>
      </c>
      <c r="S64" s="13" t="str">
        <f>IF(Table1[[#This Row],[Total_Amount]]&gt;=700,"High",
 IF(Table1[[#This Row],[Total_Amount]]&gt;=300,"Medium","Low"))</f>
        <v>Medium</v>
      </c>
      <c r="T64" s="13">
        <f>Table1[[#This Row],[Total_Amount]]*(1-$AC$8)*0.3</f>
        <v>87.251993924582322</v>
      </c>
      <c r="U64" s="13">
        <f t="shared" si="0"/>
        <v>1809.84</v>
      </c>
      <c r="V64" s="13" t="str">
        <f>IF(Table1[[#This Row],[Customer_Total_Spend]]&gt;5000,"Yes","No")</f>
        <v>No</v>
      </c>
      <c r="W64" s="13">
        <f t="shared" si="1"/>
        <v>14</v>
      </c>
    </row>
    <row r="65" spans="1:23" ht="15" thickBot="1" x14ac:dyDescent="0.35">
      <c r="A65" s="3" t="s">
        <v>184</v>
      </c>
      <c r="B65" s="8">
        <v>45481</v>
      </c>
      <c r="C65" s="4" t="s">
        <v>185</v>
      </c>
      <c r="D65" s="4" t="s">
        <v>186</v>
      </c>
      <c r="E65" s="4" t="s">
        <v>44</v>
      </c>
      <c r="F65" s="4" t="s">
        <v>45</v>
      </c>
      <c r="G65" s="4" t="s">
        <v>46</v>
      </c>
      <c r="H65" s="38">
        <v>1</v>
      </c>
      <c r="I65" s="4">
        <v>149.99</v>
      </c>
      <c r="J65" s="4" t="s">
        <v>34</v>
      </c>
      <c r="K65" s="4" t="s">
        <v>40</v>
      </c>
      <c r="L65" s="4" t="s">
        <v>22</v>
      </c>
      <c r="M65" s="8">
        <v>44421</v>
      </c>
      <c r="N65" s="34">
        <v>149.99</v>
      </c>
      <c r="O65" s="4">
        <f ca="1">DATEDIF(Table1[[#This Row],[Customer_Since]],TODAY(),"Y")</f>
        <v>4</v>
      </c>
      <c r="P65" s="12">
        <f ca="1">DATEDIF(Table1[[#This Row],[Date]],TODAY(),"M")</f>
        <v>19</v>
      </c>
      <c r="Q65" s="12" t="str">
        <f ca="1">IF(Table1[[#This Row],[Months_Since_Purchase]]&gt;12,"Inactive","Active")</f>
        <v>Inactive</v>
      </c>
      <c r="R65" s="14">
        <f>EOMONTH(Table1[[#This Row],[Date]],0)</f>
        <v>45504</v>
      </c>
      <c r="S65" s="13" t="str">
        <f>IF(Table1[[#This Row],[Total_Amount]]&gt;=700,"High",
 IF(Table1[[#This Row],[Total_Amount]]&gt;=300,"Medium","Low"))</f>
        <v>Low</v>
      </c>
      <c r="T65" s="13">
        <f>Table1[[#This Row],[Total_Amount]]*(1-$AC$8)*0.3</f>
        <v>32.721406597694966</v>
      </c>
      <c r="U65" s="13">
        <f t="shared" si="0"/>
        <v>2099.88</v>
      </c>
      <c r="V65" s="13" t="str">
        <f>IF(Table1[[#This Row],[Customer_Total_Spend]]&gt;5000,"Yes","No")</f>
        <v>No</v>
      </c>
      <c r="W65" s="13">
        <f t="shared" si="1"/>
        <v>35</v>
      </c>
    </row>
    <row r="66" spans="1:23" ht="15" thickBot="1" x14ac:dyDescent="0.35">
      <c r="A66" s="3" t="s">
        <v>187</v>
      </c>
      <c r="B66" s="8">
        <v>45481</v>
      </c>
      <c r="C66" s="4" t="s">
        <v>42</v>
      </c>
      <c r="D66" s="4" t="s">
        <v>43</v>
      </c>
      <c r="E66" s="4" t="s">
        <v>80</v>
      </c>
      <c r="F66" s="4" t="s">
        <v>81</v>
      </c>
      <c r="G66" s="4" t="s">
        <v>19</v>
      </c>
      <c r="H66" s="38">
        <v>2</v>
      </c>
      <c r="I66" s="4">
        <v>699.99</v>
      </c>
      <c r="J66" s="4" t="s">
        <v>34</v>
      </c>
      <c r="K66" s="4" t="s">
        <v>63</v>
      </c>
      <c r="L66" s="4" t="s">
        <v>27</v>
      </c>
      <c r="M66" s="8">
        <v>45389</v>
      </c>
      <c r="N66" s="34">
        <v>1399.98</v>
      </c>
      <c r="O66" s="4">
        <f ca="1">DATEDIF(Table1[[#This Row],[Customer_Since]],TODAY(),"Y")</f>
        <v>1</v>
      </c>
      <c r="P66" s="12">
        <f ca="1">DATEDIF(Table1[[#This Row],[Date]],TODAY(),"M")</f>
        <v>19</v>
      </c>
      <c r="Q66" s="12" t="str">
        <f ca="1">IF(Table1[[#This Row],[Months_Since_Purchase]]&gt;12,"Inactive","Active")</f>
        <v>Inactive</v>
      </c>
      <c r="R66" s="14">
        <f>EOMONTH(Table1[[#This Row],[Date]],0)</f>
        <v>45504</v>
      </c>
      <c r="S66" s="13" t="str">
        <f>IF(Table1[[#This Row],[Total_Amount]]&gt;=700,"High",
 IF(Table1[[#This Row],[Total_Amount]]&gt;=300,"Medium","Low"))</f>
        <v>High</v>
      </c>
      <c r="T66" s="13">
        <f>Table1[[#This Row],[Total_Amount]]*(1-$AC$8)*0.3</f>
        <v>305.41579311048065</v>
      </c>
      <c r="U66" s="13">
        <f t="shared" ref="U66:U129" si="2">SUMIFS(N:N,C:C,C:C)</f>
        <v>6169.7400000000007</v>
      </c>
      <c r="V66" s="13" t="str">
        <f>IF(Table1[[#This Row],[Customer_Total_Spend]]&gt;5000,"Yes","No")</f>
        <v>Yes</v>
      </c>
      <c r="W66" s="13">
        <f t="shared" ref="W66:W129" si="3">COUNTIF(F:F,F:F)</f>
        <v>31</v>
      </c>
    </row>
    <row r="67" spans="1:23" ht="15" thickBot="1" x14ac:dyDescent="0.35">
      <c r="A67" s="3" t="s">
        <v>188</v>
      </c>
      <c r="B67" s="8">
        <v>45481</v>
      </c>
      <c r="C67" s="4" t="s">
        <v>96</v>
      </c>
      <c r="D67" s="4" t="s">
        <v>97</v>
      </c>
      <c r="E67" s="4" t="s">
        <v>117</v>
      </c>
      <c r="F67" s="4" t="s">
        <v>118</v>
      </c>
      <c r="G67" s="4" t="s">
        <v>19</v>
      </c>
      <c r="H67" s="38">
        <v>5</v>
      </c>
      <c r="I67" s="4">
        <v>89.99</v>
      </c>
      <c r="J67" s="4" t="s">
        <v>57</v>
      </c>
      <c r="K67" s="4" t="s">
        <v>40</v>
      </c>
      <c r="L67" s="4" t="s">
        <v>27</v>
      </c>
      <c r="M67" s="8">
        <v>45161</v>
      </c>
      <c r="N67" s="34">
        <v>449.95</v>
      </c>
      <c r="O67" s="4">
        <f ca="1">DATEDIF(Table1[[#This Row],[Customer_Since]],TODAY(),"Y")</f>
        <v>2</v>
      </c>
      <c r="P67" s="12">
        <f ca="1">DATEDIF(Table1[[#This Row],[Date]],TODAY(),"M")</f>
        <v>19</v>
      </c>
      <c r="Q67" s="12" t="str">
        <f ca="1">IF(Table1[[#This Row],[Months_Since_Purchase]]&gt;12,"Inactive","Active")</f>
        <v>Inactive</v>
      </c>
      <c r="R67" s="14">
        <f>EOMONTH(Table1[[#This Row],[Date]],0)</f>
        <v>45504</v>
      </c>
      <c r="S67" s="13" t="str">
        <f>IF(Table1[[#This Row],[Total_Amount]]&gt;=700,"High",
 IF(Table1[[#This Row],[Total_Amount]]&gt;=300,"Medium","Low"))</f>
        <v>Medium</v>
      </c>
      <c r="T67" s="13">
        <f>Table1[[#This Row],[Total_Amount]]*(1-$AC$8)*0.3</f>
        <v>98.159856647995539</v>
      </c>
      <c r="U67" s="13">
        <f t="shared" si="2"/>
        <v>10649.8</v>
      </c>
      <c r="V67" s="13" t="str">
        <f>IF(Table1[[#This Row],[Customer_Total_Spend]]&gt;5000,"Yes","No")</f>
        <v>Yes</v>
      </c>
      <c r="W67" s="13">
        <f t="shared" si="3"/>
        <v>34</v>
      </c>
    </row>
    <row r="68" spans="1:23" ht="15" thickBot="1" x14ac:dyDescent="0.35">
      <c r="A68" s="3" t="s">
        <v>189</v>
      </c>
      <c r="B68" s="8">
        <v>45482</v>
      </c>
      <c r="C68" s="4" t="s">
        <v>171</v>
      </c>
      <c r="D68" s="4" t="s">
        <v>172</v>
      </c>
      <c r="E68" s="4" t="s">
        <v>31</v>
      </c>
      <c r="F68" s="4" t="s">
        <v>32</v>
      </c>
      <c r="G68" s="4" t="s">
        <v>33</v>
      </c>
      <c r="H68" s="38">
        <v>4</v>
      </c>
      <c r="I68" s="4">
        <v>59.99</v>
      </c>
      <c r="J68" s="4" t="s">
        <v>20</v>
      </c>
      <c r="K68" s="4" t="s">
        <v>35</v>
      </c>
      <c r="L68" s="4" t="s">
        <v>36</v>
      </c>
      <c r="M68" s="8">
        <v>44509</v>
      </c>
      <c r="N68" s="34">
        <v>239.96</v>
      </c>
      <c r="O68" s="4">
        <f ca="1">DATEDIF(Table1[[#This Row],[Customer_Since]],TODAY(),"Y")</f>
        <v>4</v>
      </c>
      <c r="P68" s="12">
        <f ca="1">DATEDIF(Table1[[#This Row],[Date]],TODAY(),"M")</f>
        <v>19</v>
      </c>
      <c r="Q68" s="12" t="str">
        <f ca="1">IF(Table1[[#This Row],[Months_Since_Purchase]]&gt;12,"Inactive","Active")</f>
        <v>Inactive</v>
      </c>
      <c r="R68" s="14">
        <f>EOMONTH(Table1[[#This Row],[Date]],0)</f>
        <v>45504</v>
      </c>
      <c r="S68" s="13" t="str">
        <f>IF(Table1[[#This Row],[Total_Amount]]&gt;=700,"High",
 IF(Table1[[#This Row],[Total_Amount]]&gt;=300,"Medium","Low"))</f>
        <v>Low</v>
      </c>
      <c r="T68" s="13">
        <f>Table1[[#This Row],[Total_Amount]]*(1-$AC$8)*0.3</f>
        <v>52.349014782204712</v>
      </c>
      <c r="U68" s="13">
        <f t="shared" si="2"/>
        <v>3669.8500000000004</v>
      </c>
      <c r="V68" s="13" t="str">
        <f>IF(Table1[[#This Row],[Customer_Total_Spend]]&gt;5000,"Yes","No")</f>
        <v>No</v>
      </c>
      <c r="W68" s="13">
        <f t="shared" si="3"/>
        <v>29</v>
      </c>
    </row>
    <row r="69" spans="1:23" ht="15" thickBot="1" x14ac:dyDescent="0.35">
      <c r="A69" s="3" t="s">
        <v>190</v>
      </c>
      <c r="B69" s="8">
        <v>45484</v>
      </c>
      <c r="C69" s="4" t="s">
        <v>24</v>
      </c>
      <c r="D69" s="4" t="s">
        <v>25</v>
      </c>
      <c r="E69" s="4" t="s">
        <v>52</v>
      </c>
      <c r="F69" s="4" t="s">
        <v>53</v>
      </c>
      <c r="G69" s="4" t="s">
        <v>19</v>
      </c>
      <c r="H69" s="38">
        <v>1</v>
      </c>
      <c r="I69" s="4">
        <v>149.99</v>
      </c>
      <c r="J69" s="4" t="s">
        <v>20</v>
      </c>
      <c r="K69" s="4" t="s">
        <v>21</v>
      </c>
      <c r="L69" s="4" t="s">
        <v>36</v>
      </c>
      <c r="M69" s="8">
        <v>44909</v>
      </c>
      <c r="N69" s="34">
        <v>149.99</v>
      </c>
      <c r="O69" s="4">
        <f ca="1">DATEDIF(Table1[[#This Row],[Customer_Since]],TODAY(),"Y")</f>
        <v>3</v>
      </c>
      <c r="P69" s="12">
        <f ca="1">DATEDIF(Table1[[#This Row],[Date]],TODAY(),"M")</f>
        <v>19</v>
      </c>
      <c r="Q69" s="12" t="str">
        <f ca="1">IF(Table1[[#This Row],[Months_Since_Purchase]]&gt;12,"Inactive","Active")</f>
        <v>Inactive</v>
      </c>
      <c r="R69" s="14">
        <f>EOMONTH(Table1[[#This Row],[Date]],0)</f>
        <v>45504</v>
      </c>
      <c r="S69" s="13" t="str">
        <f>IF(Table1[[#This Row],[Total_Amount]]&gt;=700,"High",
 IF(Table1[[#This Row],[Total_Amount]]&gt;=300,"Medium","Low"))</f>
        <v>Low</v>
      </c>
      <c r="T69" s="13">
        <f>Table1[[#This Row],[Total_Amount]]*(1-$AC$8)*0.3</f>
        <v>32.721406597694966</v>
      </c>
      <c r="U69" s="13">
        <f t="shared" si="2"/>
        <v>6949.84</v>
      </c>
      <c r="V69" s="13" t="str">
        <f>IF(Table1[[#This Row],[Customer_Total_Spend]]&gt;5000,"Yes","No")</f>
        <v>Yes</v>
      </c>
      <c r="W69" s="13">
        <f t="shared" si="3"/>
        <v>16</v>
      </c>
    </row>
    <row r="70" spans="1:23" ht="15" thickBot="1" x14ac:dyDescent="0.35">
      <c r="A70" s="3" t="s">
        <v>191</v>
      </c>
      <c r="B70" s="8">
        <v>45484</v>
      </c>
      <c r="C70" s="4" t="s">
        <v>192</v>
      </c>
      <c r="D70" s="4" t="s">
        <v>193</v>
      </c>
      <c r="E70" s="4" t="s">
        <v>105</v>
      </c>
      <c r="F70" s="4" t="s">
        <v>106</v>
      </c>
      <c r="G70" s="4" t="s">
        <v>46</v>
      </c>
      <c r="H70" s="38">
        <v>1</v>
      </c>
      <c r="I70" s="4">
        <v>299.99</v>
      </c>
      <c r="J70" s="4" t="s">
        <v>26</v>
      </c>
      <c r="K70" s="4" t="s">
        <v>40</v>
      </c>
      <c r="L70" s="4" t="s">
        <v>27</v>
      </c>
      <c r="M70" s="8">
        <v>44891</v>
      </c>
      <c r="N70" s="34">
        <v>299.99</v>
      </c>
      <c r="O70" s="4">
        <f ca="1">DATEDIF(Table1[[#This Row],[Customer_Since]],TODAY(),"Y")</f>
        <v>3</v>
      </c>
      <c r="P70" s="12">
        <f ca="1">DATEDIF(Table1[[#This Row],[Date]],TODAY(),"M")</f>
        <v>19</v>
      </c>
      <c r="Q70" s="12" t="str">
        <f ca="1">IF(Table1[[#This Row],[Months_Since_Purchase]]&gt;12,"Inactive","Active")</f>
        <v>Inactive</v>
      </c>
      <c r="R70" s="14">
        <f>EOMONTH(Table1[[#This Row],[Date]],0)</f>
        <v>45504</v>
      </c>
      <c r="S70" s="13" t="str">
        <f>IF(Table1[[#This Row],[Total_Amount]]&gt;=700,"High",
 IF(Table1[[#This Row],[Total_Amount]]&gt;=300,"Medium","Low"))</f>
        <v>Low</v>
      </c>
      <c r="T70" s="13">
        <f>Table1[[#This Row],[Total_Amount]]*(1-$AC$8)*0.3</f>
        <v>65.444994767934617</v>
      </c>
      <c r="U70" s="13">
        <f t="shared" si="2"/>
        <v>1479.91</v>
      </c>
      <c r="V70" s="13" t="str">
        <f>IF(Table1[[#This Row],[Customer_Total_Spend]]&gt;5000,"Yes","No")</f>
        <v>No</v>
      </c>
      <c r="W70" s="13">
        <f t="shared" si="3"/>
        <v>26</v>
      </c>
    </row>
    <row r="71" spans="1:23" ht="15" thickBot="1" x14ac:dyDescent="0.35">
      <c r="A71" s="3" t="s">
        <v>194</v>
      </c>
      <c r="B71" s="8">
        <v>45487</v>
      </c>
      <c r="C71" s="4" t="s">
        <v>192</v>
      </c>
      <c r="D71" s="4" t="s">
        <v>193</v>
      </c>
      <c r="E71" s="4" t="s">
        <v>126</v>
      </c>
      <c r="F71" s="4" t="s">
        <v>127</v>
      </c>
      <c r="G71" s="4" t="s">
        <v>46</v>
      </c>
      <c r="H71" s="38">
        <v>2</v>
      </c>
      <c r="I71" s="4">
        <v>199.99</v>
      </c>
      <c r="J71" s="4" t="s">
        <v>20</v>
      </c>
      <c r="K71" s="4" t="s">
        <v>40</v>
      </c>
      <c r="L71" s="4" t="s">
        <v>22</v>
      </c>
      <c r="M71" s="8">
        <v>44541</v>
      </c>
      <c r="N71" s="34">
        <v>399.98</v>
      </c>
      <c r="O71" s="4">
        <f ca="1">DATEDIF(Table1[[#This Row],[Customer_Since]],TODAY(),"Y")</f>
        <v>4</v>
      </c>
      <c r="P71" s="12">
        <f ca="1">DATEDIF(Table1[[#This Row],[Date]],TODAY(),"M")</f>
        <v>19</v>
      </c>
      <c r="Q71" s="12" t="str">
        <f ca="1">IF(Table1[[#This Row],[Months_Since_Purchase]]&gt;12,"Inactive","Active")</f>
        <v>Inactive</v>
      </c>
      <c r="R71" s="14">
        <f>EOMONTH(Table1[[#This Row],[Date]],0)</f>
        <v>45504</v>
      </c>
      <c r="S71" s="13" t="str">
        <f>IF(Table1[[#This Row],[Total_Amount]]&gt;=700,"High",
 IF(Table1[[#This Row],[Total_Amount]]&gt;=300,"Medium","Low"))</f>
        <v>Medium</v>
      </c>
      <c r="T71" s="13">
        <f>Table1[[#This Row],[Total_Amount]]*(1-$AC$8)*0.3</f>
        <v>87.258538642216379</v>
      </c>
      <c r="U71" s="13">
        <f t="shared" si="2"/>
        <v>1479.91</v>
      </c>
      <c r="V71" s="13" t="str">
        <f>IF(Table1[[#This Row],[Customer_Total_Spend]]&gt;5000,"Yes","No")</f>
        <v>No</v>
      </c>
      <c r="W71" s="13">
        <f t="shared" si="3"/>
        <v>15</v>
      </c>
    </row>
    <row r="72" spans="1:23" ht="15" thickBot="1" x14ac:dyDescent="0.35">
      <c r="A72" s="3" t="s">
        <v>195</v>
      </c>
      <c r="B72" s="8">
        <v>45490</v>
      </c>
      <c r="C72" s="4" t="s">
        <v>196</v>
      </c>
      <c r="D72" s="4" t="s">
        <v>197</v>
      </c>
      <c r="E72" s="4" t="s">
        <v>31</v>
      </c>
      <c r="F72" s="4" t="s">
        <v>32</v>
      </c>
      <c r="G72" s="4" t="s">
        <v>33</v>
      </c>
      <c r="H72" s="38">
        <v>3</v>
      </c>
      <c r="I72" s="4">
        <v>59.99</v>
      </c>
      <c r="J72" s="4" t="s">
        <v>26</v>
      </c>
      <c r="K72" s="4" t="s">
        <v>50</v>
      </c>
      <c r="L72" s="4" t="s">
        <v>22</v>
      </c>
      <c r="M72" s="8">
        <v>45130</v>
      </c>
      <c r="N72" s="34">
        <v>179.97</v>
      </c>
      <c r="O72" s="4">
        <f ca="1">DATEDIF(Table1[[#This Row],[Customer_Since]],TODAY(),"Y")</f>
        <v>2</v>
      </c>
      <c r="P72" s="12">
        <f ca="1">DATEDIF(Table1[[#This Row],[Date]],TODAY(),"M")</f>
        <v>19</v>
      </c>
      <c r="Q72" s="12" t="str">
        <f ca="1">IF(Table1[[#This Row],[Months_Since_Purchase]]&gt;12,"Inactive","Active")</f>
        <v>Inactive</v>
      </c>
      <c r="R72" s="14">
        <f>EOMONTH(Table1[[#This Row],[Date]],0)</f>
        <v>45504</v>
      </c>
      <c r="S72" s="13" t="str">
        <f>IF(Table1[[#This Row],[Total_Amount]]&gt;=700,"High",
 IF(Table1[[#This Row],[Total_Amount]]&gt;=300,"Medium","Low"))</f>
        <v>Low</v>
      </c>
      <c r="T72" s="13">
        <f>Table1[[#This Row],[Total_Amount]]*(1-$AC$8)*0.3</f>
        <v>39.261761086653529</v>
      </c>
      <c r="U72" s="13">
        <f t="shared" si="2"/>
        <v>6379.87</v>
      </c>
      <c r="V72" s="13" t="str">
        <f>IF(Table1[[#This Row],[Customer_Total_Spend]]&gt;5000,"Yes","No")</f>
        <v>Yes</v>
      </c>
      <c r="W72" s="13">
        <f t="shared" si="3"/>
        <v>29</v>
      </c>
    </row>
    <row r="73" spans="1:23" ht="15" thickBot="1" x14ac:dyDescent="0.35">
      <c r="A73" s="3" t="s">
        <v>198</v>
      </c>
      <c r="B73" s="8">
        <v>45490</v>
      </c>
      <c r="C73" s="4" t="s">
        <v>72</v>
      </c>
      <c r="D73" s="4" t="s">
        <v>73</v>
      </c>
      <c r="E73" s="4" t="s">
        <v>44</v>
      </c>
      <c r="F73" s="4" t="s">
        <v>45</v>
      </c>
      <c r="G73" s="4" t="s">
        <v>46</v>
      </c>
      <c r="H73" s="38">
        <v>3</v>
      </c>
      <c r="I73" s="4">
        <v>149.99</v>
      </c>
      <c r="J73" s="4" t="s">
        <v>20</v>
      </c>
      <c r="K73" s="4" t="s">
        <v>21</v>
      </c>
      <c r="L73" s="4" t="s">
        <v>27</v>
      </c>
      <c r="M73" s="8">
        <v>45199</v>
      </c>
      <c r="N73" s="34">
        <v>449.97</v>
      </c>
      <c r="O73" s="4">
        <f ca="1">DATEDIF(Table1[[#This Row],[Customer_Since]],TODAY(),"Y")</f>
        <v>2</v>
      </c>
      <c r="P73" s="12">
        <f ca="1">DATEDIF(Table1[[#This Row],[Date]],TODAY(),"M")</f>
        <v>19</v>
      </c>
      <c r="Q73" s="12" t="str">
        <f ca="1">IF(Table1[[#This Row],[Months_Since_Purchase]]&gt;12,"Inactive","Active")</f>
        <v>Inactive</v>
      </c>
      <c r="R73" s="14">
        <f>EOMONTH(Table1[[#This Row],[Date]],0)</f>
        <v>45504</v>
      </c>
      <c r="S73" s="13" t="str">
        <f>IF(Table1[[#This Row],[Total_Amount]]&gt;=700,"High",
 IF(Table1[[#This Row],[Total_Amount]]&gt;=300,"Medium","Low"))</f>
        <v>Medium</v>
      </c>
      <c r="T73" s="13">
        <f>Table1[[#This Row],[Total_Amount]]*(1-$AC$8)*0.3</f>
        <v>98.164219793084911</v>
      </c>
      <c r="U73" s="13">
        <f t="shared" si="2"/>
        <v>5949.85</v>
      </c>
      <c r="V73" s="13" t="str">
        <f>IF(Table1[[#This Row],[Customer_Total_Spend]]&gt;5000,"Yes","No")</f>
        <v>Yes</v>
      </c>
      <c r="W73" s="13">
        <f t="shared" si="3"/>
        <v>35</v>
      </c>
    </row>
    <row r="74" spans="1:23" ht="15" thickBot="1" x14ac:dyDescent="0.35">
      <c r="A74" s="3" t="s">
        <v>199</v>
      </c>
      <c r="B74" s="8">
        <v>45491</v>
      </c>
      <c r="C74" s="4" t="s">
        <v>65</v>
      </c>
      <c r="D74" s="4" t="s">
        <v>66</v>
      </c>
      <c r="E74" s="4" t="s">
        <v>126</v>
      </c>
      <c r="F74" s="4" t="s">
        <v>127</v>
      </c>
      <c r="G74" s="4" t="s">
        <v>46</v>
      </c>
      <c r="H74" s="38">
        <v>3</v>
      </c>
      <c r="I74" s="4">
        <v>199.99</v>
      </c>
      <c r="J74" s="4" t="s">
        <v>20</v>
      </c>
      <c r="K74" s="4" t="s">
        <v>40</v>
      </c>
      <c r="L74" s="4" t="s">
        <v>27</v>
      </c>
      <c r="M74" s="8">
        <v>45254</v>
      </c>
      <c r="N74" s="34">
        <v>599.97</v>
      </c>
      <c r="O74" s="4">
        <f ca="1">DATEDIF(Table1[[#This Row],[Customer_Since]],TODAY(),"Y")</f>
        <v>2</v>
      </c>
      <c r="P74" s="12">
        <f ca="1">DATEDIF(Table1[[#This Row],[Date]],TODAY(),"M")</f>
        <v>19</v>
      </c>
      <c r="Q74" s="12" t="str">
        <f ca="1">IF(Table1[[#This Row],[Months_Since_Purchase]]&gt;12,"Inactive","Active")</f>
        <v>Inactive</v>
      </c>
      <c r="R74" s="14">
        <f>EOMONTH(Table1[[#This Row],[Date]],0)</f>
        <v>45504</v>
      </c>
      <c r="S74" s="13" t="str">
        <f>IF(Table1[[#This Row],[Total_Amount]]&gt;=700,"High",
 IF(Table1[[#This Row],[Total_Amount]]&gt;=300,"Medium","Low"))</f>
        <v>Medium</v>
      </c>
      <c r="T74" s="13">
        <f>Table1[[#This Row],[Total_Amount]]*(1-$AC$8)*0.3</f>
        <v>130.88780796332455</v>
      </c>
      <c r="U74" s="13">
        <f t="shared" si="2"/>
        <v>8009.7699999999995</v>
      </c>
      <c r="V74" s="13" t="str">
        <f>IF(Table1[[#This Row],[Customer_Total_Spend]]&gt;5000,"Yes","No")</f>
        <v>Yes</v>
      </c>
      <c r="W74" s="13">
        <f t="shared" si="3"/>
        <v>15</v>
      </c>
    </row>
    <row r="75" spans="1:23" ht="15" thickBot="1" x14ac:dyDescent="0.35">
      <c r="A75" s="3" t="s">
        <v>200</v>
      </c>
      <c r="B75" s="8">
        <v>45496</v>
      </c>
      <c r="C75" s="4" t="s">
        <v>150</v>
      </c>
      <c r="D75" s="4" t="s">
        <v>151</v>
      </c>
      <c r="E75" s="4" t="s">
        <v>61</v>
      </c>
      <c r="F75" s="4" t="s">
        <v>62</v>
      </c>
      <c r="G75" s="4" t="s">
        <v>19</v>
      </c>
      <c r="H75" s="38">
        <v>1</v>
      </c>
      <c r="I75" s="4">
        <v>899.99</v>
      </c>
      <c r="J75" s="4" t="s">
        <v>20</v>
      </c>
      <c r="K75" s="4" t="s">
        <v>21</v>
      </c>
      <c r="L75" s="4" t="s">
        <v>36</v>
      </c>
      <c r="M75" s="8">
        <v>45179</v>
      </c>
      <c r="N75" s="34">
        <v>899.99</v>
      </c>
      <c r="O75" s="4">
        <f ca="1">DATEDIF(Table1[[#This Row],[Customer_Since]],TODAY(),"Y")</f>
        <v>2</v>
      </c>
      <c r="P75" s="12">
        <f ca="1">DATEDIF(Table1[[#This Row],[Date]],TODAY(),"M")</f>
        <v>19</v>
      </c>
      <c r="Q75" s="12" t="str">
        <f ca="1">IF(Table1[[#This Row],[Months_Since_Purchase]]&gt;12,"Inactive","Active")</f>
        <v>Inactive</v>
      </c>
      <c r="R75" s="14">
        <f>EOMONTH(Table1[[#This Row],[Date]],0)</f>
        <v>45504</v>
      </c>
      <c r="S75" s="13" t="str">
        <f>IF(Table1[[#This Row],[Total_Amount]]&gt;=700,"High",
 IF(Table1[[#This Row],[Total_Amount]]&gt;=300,"Medium","Low"))</f>
        <v>High</v>
      </c>
      <c r="T75" s="13">
        <f>Table1[[#This Row],[Total_Amount]]*(1-$AC$8)*0.3</f>
        <v>196.33934744889322</v>
      </c>
      <c r="U75" s="13">
        <f t="shared" si="2"/>
        <v>5619.869999999999</v>
      </c>
      <c r="V75" s="13" t="str">
        <f>IF(Table1[[#This Row],[Customer_Total_Spend]]&gt;5000,"Yes","No")</f>
        <v>Yes</v>
      </c>
      <c r="W75" s="13">
        <f t="shared" si="3"/>
        <v>24</v>
      </c>
    </row>
    <row r="76" spans="1:23" ht="15" thickBot="1" x14ac:dyDescent="0.35">
      <c r="A76" s="3" t="s">
        <v>201</v>
      </c>
      <c r="B76" s="8">
        <v>45497</v>
      </c>
      <c r="C76" s="4" t="s">
        <v>24</v>
      </c>
      <c r="D76" s="4" t="s">
        <v>25</v>
      </c>
      <c r="E76" s="4" t="s">
        <v>61</v>
      </c>
      <c r="F76" s="4" t="s">
        <v>62</v>
      </c>
      <c r="G76" s="4" t="s">
        <v>19</v>
      </c>
      <c r="H76" s="38">
        <v>5</v>
      </c>
      <c r="I76" s="4">
        <v>899.99</v>
      </c>
      <c r="J76" s="4" t="s">
        <v>57</v>
      </c>
      <c r="K76" s="4" t="s">
        <v>35</v>
      </c>
      <c r="L76" s="4" t="s">
        <v>36</v>
      </c>
      <c r="M76" s="8">
        <v>44899</v>
      </c>
      <c r="N76" s="34">
        <v>4499.95</v>
      </c>
      <c r="O76" s="4">
        <f ca="1">DATEDIF(Table1[[#This Row],[Customer_Since]],TODAY(),"Y")</f>
        <v>3</v>
      </c>
      <c r="P76" s="12">
        <f ca="1">DATEDIF(Table1[[#This Row],[Date]],TODAY(),"M")</f>
        <v>19</v>
      </c>
      <c r="Q76" s="12" t="str">
        <f ca="1">IF(Table1[[#This Row],[Months_Since_Purchase]]&gt;12,"Inactive","Active")</f>
        <v>Inactive</v>
      </c>
      <c r="R76" s="14">
        <f>EOMONTH(Table1[[#This Row],[Date]],0)</f>
        <v>45504</v>
      </c>
      <c r="S76" s="13" t="str">
        <f>IF(Table1[[#This Row],[Total_Amount]]&gt;=700,"High",
 IF(Table1[[#This Row],[Total_Amount]]&gt;=300,"Medium","Low"))</f>
        <v>High</v>
      </c>
      <c r="T76" s="13">
        <f>Table1[[#This Row],[Total_Amount]]*(1-$AC$8)*0.3</f>
        <v>981.69673724446602</v>
      </c>
      <c r="U76" s="13">
        <f t="shared" si="2"/>
        <v>6949.84</v>
      </c>
      <c r="V76" s="13" t="str">
        <f>IF(Table1[[#This Row],[Customer_Total_Spend]]&gt;5000,"Yes","No")</f>
        <v>Yes</v>
      </c>
      <c r="W76" s="13">
        <f t="shared" si="3"/>
        <v>24</v>
      </c>
    </row>
    <row r="77" spans="1:23" ht="15" thickBot="1" x14ac:dyDescent="0.35">
      <c r="A77" s="3" t="s">
        <v>202</v>
      </c>
      <c r="B77" s="8">
        <v>45498</v>
      </c>
      <c r="C77" s="4" t="s">
        <v>182</v>
      </c>
      <c r="D77" s="4" t="s">
        <v>183</v>
      </c>
      <c r="E77" s="4" t="s">
        <v>31</v>
      </c>
      <c r="F77" s="4" t="s">
        <v>32</v>
      </c>
      <c r="G77" s="4" t="s">
        <v>33</v>
      </c>
      <c r="H77" s="38">
        <v>2</v>
      </c>
      <c r="I77" s="4">
        <v>59.99</v>
      </c>
      <c r="J77" s="4" t="s">
        <v>20</v>
      </c>
      <c r="K77" s="4" t="s">
        <v>40</v>
      </c>
      <c r="L77" s="4" t="s">
        <v>36</v>
      </c>
      <c r="M77" s="8">
        <v>45152</v>
      </c>
      <c r="N77" s="34">
        <v>119.98</v>
      </c>
      <c r="O77" s="4">
        <f ca="1">DATEDIF(Table1[[#This Row],[Customer_Since]],TODAY(),"Y")</f>
        <v>2</v>
      </c>
      <c r="P77" s="12">
        <f ca="1">DATEDIF(Table1[[#This Row],[Date]],TODAY(),"M")</f>
        <v>19</v>
      </c>
      <c r="Q77" s="12" t="str">
        <f ca="1">IF(Table1[[#This Row],[Months_Since_Purchase]]&gt;12,"Inactive","Active")</f>
        <v>Inactive</v>
      </c>
      <c r="R77" s="14">
        <f>EOMONTH(Table1[[#This Row],[Date]],0)</f>
        <v>45504</v>
      </c>
      <c r="S77" s="13" t="str">
        <f>IF(Table1[[#This Row],[Total_Amount]]&gt;=700,"High",
 IF(Table1[[#This Row],[Total_Amount]]&gt;=300,"Medium","Low"))</f>
        <v>Low</v>
      </c>
      <c r="T77" s="13">
        <f>Table1[[#This Row],[Total_Amount]]*(1-$AC$8)*0.3</f>
        <v>26.174507391102356</v>
      </c>
      <c r="U77" s="13">
        <f t="shared" si="2"/>
        <v>1809.84</v>
      </c>
      <c r="V77" s="13" t="str">
        <f>IF(Table1[[#This Row],[Customer_Total_Spend]]&gt;5000,"Yes","No")</f>
        <v>No</v>
      </c>
      <c r="W77" s="13">
        <f t="shared" si="3"/>
        <v>29</v>
      </c>
    </row>
    <row r="78" spans="1:23" ht="15" thickBot="1" x14ac:dyDescent="0.35">
      <c r="A78" s="3" t="s">
        <v>203</v>
      </c>
      <c r="B78" s="8">
        <v>45498</v>
      </c>
      <c r="C78" s="4" t="s">
        <v>196</v>
      </c>
      <c r="D78" s="4" t="s">
        <v>197</v>
      </c>
      <c r="E78" s="4" t="s">
        <v>17</v>
      </c>
      <c r="F78" s="4" t="s">
        <v>18</v>
      </c>
      <c r="G78" s="4" t="s">
        <v>19</v>
      </c>
      <c r="H78" s="38">
        <v>4</v>
      </c>
      <c r="I78" s="4">
        <v>249.99</v>
      </c>
      <c r="J78" s="4" t="s">
        <v>57</v>
      </c>
      <c r="K78" s="4" t="s">
        <v>21</v>
      </c>
      <c r="L78" s="4" t="s">
        <v>36</v>
      </c>
      <c r="M78" s="8">
        <v>45127</v>
      </c>
      <c r="N78" s="34">
        <v>999.96</v>
      </c>
      <c r="O78" s="4">
        <f ca="1">DATEDIF(Table1[[#This Row],[Customer_Since]],TODAY(),"Y")</f>
        <v>2</v>
      </c>
      <c r="P78" s="12">
        <f ca="1">DATEDIF(Table1[[#This Row],[Date]],TODAY(),"M")</f>
        <v>19</v>
      </c>
      <c r="Q78" s="12" t="str">
        <f ca="1">IF(Table1[[#This Row],[Months_Since_Purchase]]&gt;12,"Inactive","Active")</f>
        <v>Inactive</v>
      </c>
      <c r="R78" s="14">
        <f>EOMONTH(Table1[[#This Row],[Date]],0)</f>
        <v>45504</v>
      </c>
      <c r="S78" s="13" t="str">
        <f>IF(Table1[[#This Row],[Total_Amount]]&gt;=700,"High",
 IF(Table1[[#This Row],[Total_Amount]]&gt;=300,"Medium","Low"))</f>
        <v>High</v>
      </c>
      <c r="T78" s="13">
        <f>Table1[[#This Row],[Total_Amount]]*(1-$AC$8)*0.3</f>
        <v>218.14852817808563</v>
      </c>
      <c r="U78" s="13">
        <f t="shared" si="2"/>
        <v>6379.87</v>
      </c>
      <c r="V78" s="13" t="str">
        <f>IF(Table1[[#This Row],[Customer_Total_Spend]]&gt;5000,"Yes","No")</f>
        <v>Yes</v>
      </c>
      <c r="W78" s="13">
        <f t="shared" si="3"/>
        <v>26</v>
      </c>
    </row>
    <row r="79" spans="1:23" ht="15" thickBot="1" x14ac:dyDescent="0.35">
      <c r="A79" s="3" t="s">
        <v>204</v>
      </c>
      <c r="B79" s="8">
        <v>45500</v>
      </c>
      <c r="C79" s="4" t="s">
        <v>96</v>
      </c>
      <c r="D79" s="4" t="s">
        <v>97</v>
      </c>
      <c r="E79" s="4" t="s">
        <v>17</v>
      </c>
      <c r="F79" s="4" t="s">
        <v>18</v>
      </c>
      <c r="G79" s="4" t="s">
        <v>19</v>
      </c>
      <c r="H79" s="38">
        <v>2</v>
      </c>
      <c r="I79" s="4">
        <v>249.99</v>
      </c>
      <c r="J79" s="4" t="s">
        <v>20</v>
      </c>
      <c r="K79" s="4" t="s">
        <v>40</v>
      </c>
      <c r="L79" s="4" t="s">
        <v>27</v>
      </c>
      <c r="M79" s="8">
        <v>45164</v>
      </c>
      <c r="N79" s="34">
        <v>499.98</v>
      </c>
      <c r="O79" s="4">
        <f ca="1">DATEDIF(Table1[[#This Row],[Customer_Since]],TODAY(),"Y")</f>
        <v>2</v>
      </c>
      <c r="P79" s="12">
        <f ca="1">DATEDIF(Table1[[#This Row],[Date]],TODAY(),"M")</f>
        <v>19</v>
      </c>
      <c r="Q79" s="12" t="str">
        <f ca="1">IF(Table1[[#This Row],[Months_Since_Purchase]]&gt;12,"Inactive","Active")</f>
        <v>Inactive</v>
      </c>
      <c r="R79" s="14">
        <f>EOMONTH(Table1[[#This Row],[Date]],0)</f>
        <v>45504</v>
      </c>
      <c r="S79" s="13" t="str">
        <f>IF(Table1[[#This Row],[Total_Amount]]&gt;=700,"High",
 IF(Table1[[#This Row],[Total_Amount]]&gt;=300,"Medium","Low"))</f>
        <v>Medium</v>
      </c>
      <c r="T79" s="13">
        <f>Table1[[#This Row],[Total_Amount]]*(1-$AC$8)*0.3</f>
        <v>109.07426408904281</v>
      </c>
      <c r="U79" s="13">
        <f t="shared" si="2"/>
        <v>10649.8</v>
      </c>
      <c r="V79" s="13" t="str">
        <f>IF(Table1[[#This Row],[Customer_Total_Spend]]&gt;5000,"Yes","No")</f>
        <v>Yes</v>
      </c>
      <c r="W79" s="13">
        <f t="shared" si="3"/>
        <v>26</v>
      </c>
    </row>
    <row r="80" spans="1:23" ht="15" thickBot="1" x14ac:dyDescent="0.35">
      <c r="A80" s="3" t="s">
        <v>205</v>
      </c>
      <c r="B80" s="8">
        <v>45500</v>
      </c>
      <c r="C80" s="4" t="s">
        <v>147</v>
      </c>
      <c r="D80" s="4" t="s">
        <v>148</v>
      </c>
      <c r="E80" s="4" t="s">
        <v>105</v>
      </c>
      <c r="F80" s="4" t="s">
        <v>106</v>
      </c>
      <c r="G80" s="4" t="s">
        <v>46</v>
      </c>
      <c r="H80" s="38">
        <v>1</v>
      </c>
      <c r="I80" s="4">
        <v>299.99</v>
      </c>
      <c r="J80" s="4" t="s">
        <v>20</v>
      </c>
      <c r="K80" s="4" t="s">
        <v>35</v>
      </c>
      <c r="L80" s="4" t="s">
        <v>22</v>
      </c>
      <c r="M80" s="8">
        <v>44982</v>
      </c>
      <c r="N80" s="34">
        <v>299.99</v>
      </c>
      <c r="O80" s="4">
        <f ca="1">DATEDIF(Table1[[#This Row],[Customer_Since]],TODAY(),"Y")</f>
        <v>3</v>
      </c>
      <c r="P80" s="12">
        <f ca="1">DATEDIF(Table1[[#This Row],[Date]],TODAY(),"M")</f>
        <v>19</v>
      </c>
      <c r="Q80" s="12" t="str">
        <f ca="1">IF(Table1[[#This Row],[Months_Since_Purchase]]&gt;12,"Inactive","Active")</f>
        <v>Inactive</v>
      </c>
      <c r="R80" s="14">
        <f>EOMONTH(Table1[[#This Row],[Date]],0)</f>
        <v>45504</v>
      </c>
      <c r="S80" s="13" t="str">
        <f>IF(Table1[[#This Row],[Total_Amount]]&gt;=700,"High",
 IF(Table1[[#This Row],[Total_Amount]]&gt;=300,"Medium","Low"))</f>
        <v>Low</v>
      </c>
      <c r="T80" s="13">
        <f>Table1[[#This Row],[Total_Amount]]*(1-$AC$8)*0.3</f>
        <v>65.444994767934617</v>
      </c>
      <c r="U80" s="13">
        <f t="shared" si="2"/>
        <v>7309.7999999999993</v>
      </c>
      <c r="V80" s="13" t="str">
        <f>IF(Table1[[#This Row],[Customer_Total_Spend]]&gt;5000,"Yes","No")</f>
        <v>Yes</v>
      </c>
      <c r="W80" s="13">
        <f t="shared" si="3"/>
        <v>26</v>
      </c>
    </row>
    <row r="81" spans="1:23" ht="15" thickBot="1" x14ac:dyDescent="0.35">
      <c r="A81" s="3" t="s">
        <v>206</v>
      </c>
      <c r="B81" s="8">
        <v>45501</v>
      </c>
      <c r="C81" s="4" t="s">
        <v>86</v>
      </c>
      <c r="D81" s="4" t="s">
        <v>87</v>
      </c>
      <c r="E81" s="4" t="s">
        <v>117</v>
      </c>
      <c r="F81" s="4" t="s">
        <v>118</v>
      </c>
      <c r="G81" s="4" t="s">
        <v>19</v>
      </c>
      <c r="H81" s="38">
        <v>2</v>
      </c>
      <c r="I81" s="4">
        <v>89.99</v>
      </c>
      <c r="J81" s="4" t="s">
        <v>34</v>
      </c>
      <c r="K81" s="4" t="s">
        <v>35</v>
      </c>
      <c r="L81" s="4" t="s">
        <v>22</v>
      </c>
      <c r="M81" s="8">
        <v>44976</v>
      </c>
      <c r="N81" s="34">
        <v>179.98</v>
      </c>
      <c r="O81" s="4">
        <f ca="1">DATEDIF(Table1[[#This Row],[Customer_Since]],TODAY(),"Y")</f>
        <v>3</v>
      </c>
      <c r="P81" s="12">
        <f ca="1">DATEDIF(Table1[[#This Row],[Date]],TODAY(),"M")</f>
        <v>19</v>
      </c>
      <c r="Q81" s="12" t="str">
        <f ca="1">IF(Table1[[#This Row],[Months_Since_Purchase]]&gt;12,"Inactive","Active")</f>
        <v>Inactive</v>
      </c>
      <c r="R81" s="14">
        <f>EOMONTH(Table1[[#This Row],[Date]],0)</f>
        <v>45504</v>
      </c>
      <c r="S81" s="13" t="str">
        <f>IF(Table1[[#This Row],[Total_Amount]]&gt;=700,"High",
 IF(Table1[[#This Row],[Total_Amount]]&gt;=300,"Medium","Low"))</f>
        <v>Low</v>
      </c>
      <c r="T81" s="13">
        <f>Table1[[#This Row],[Total_Amount]]*(1-$AC$8)*0.3</f>
        <v>39.263942659198214</v>
      </c>
      <c r="U81" s="13">
        <f t="shared" si="2"/>
        <v>15659.65</v>
      </c>
      <c r="V81" s="13" t="str">
        <f>IF(Table1[[#This Row],[Customer_Total_Spend]]&gt;5000,"Yes","No")</f>
        <v>Yes</v>
      </c>
      <c r="W81" s="13">
        <f t="shared" si="3"/>
        <v>34</v>
      </c>
    </row>
    <row r="82" spans="1:23" ht="15" thickBot="1" x14ac:dyDescent="0.35">
      <c r="A82" s="3" t="s">
        <v>207</v>
      </c>
      <c r="B82" s="8">
        <v>45501</v>
      </c>
      <c r="C82" s="4" t="s">
        <v>147</v>
      </c>
      <c r="D82" s="4" t="s">
        <v>148</v>
      </c>
      <c r="E82" s="4" t="s">
        <v>105</v>
      </c>
      <c r="F82" s="4" t="s">
        <v>106</v>
      </c>
      <c r="G82" s="4" t="s">
        <v>46</v>
      </c>
      <c r="H82" s="38">
        <v>3</v>
      </c>
      <c r="I82" s="4">
        <v>299.99</v>
      </c>
      <c r="J82" s="4" t="s">
        <v>20</v>
      </c>
      <c r="K82" s="4" t="s">
        <v>21</v>
      </c>
      <c r="L82" s="4" t="s">
        <v>22</v>
      </c>
      <c r="M82" s="8">
        <v>44732</v>
      </c>
      <c r="N82" s="34">
        <v>899.97</v>
      </c>
      <c r="O82" s="4">
        <f ca="1">DATEDIF(Table1[[#This Row],[Customer_Since]],TODAY(),"Y")</f>
        <v>3</v>
      </c>
      <c r="P82" s="12">
        <f ca="1">DATEDIF(Table1[[#This Row],[Date]],TODAY(),"M")</f>
        <v>19</v>
      </c>
      <c r="Q82" s="12" t="str">
        <f ca="1">IF(Table1[[#This Row],[Months_Since_Purchase]]&gt;12,"Inactive","Active")</f>
        <v>Inactive</v>
      </c>
      <c r="R82" s="14">
        <f>EOMONTH(Table1[[#This Row],[Date]],0)</f>
        <v>45504</v>
      </c>
      <c r="S82" s="13" t="str">
        <f>IF(Table1[[#This Row],[Total_Amount]]&gt;=700,"High",
 IF(Table1[[#This Row],[Total_Amount]]&gt;=300,"Medium","Low"))</f>
        <v>High</v>
      </c>
      <c r="T82" s="13">
        <f>Table1[[#This Row],[Total_Amount]]*(1-$AC$8)*0.3</f>
        <v>196.33498430380385</v>
      </c>
      <c r="U82" s="13">
        <f t="shared" si="2"/>
        <v>7309.7999999999993</v>
      </c>
      <c r="V82" s="13" t="str">
        <f>IF(Table1[[#This Row],[Customer_Total_Spend]]&gt;5000,"Yes","No")</f>
        <v>Yes</v>
      </c>
      <c r="W82" s="13">
        <f t="shared" si="3"/>
        <v>26</v>
      </c>
    </row>
    <row r="83" spans="1:23" ht="15" thickBot="1" x14ac:dyDescent="0.35">
      <c r="A83" s="3" t="s">
        <v>208</v>
      </c>
      <c r="B83" s="8">
        <v>45503</v>
      </c>
      <c r="C83" s="4" t="s">
        <v>86</v>
      </c>
      <c r="D83" s="4" t="s">
        <v>87</v>
      </c>
      <c r="E83" s="4" t="s">
        <v>80</v>
      </c>
      <c r="F83" s="4" t="s">
        <v>81</v>
      </c>
      <c r="G83" s="4" t="s">
        <v>19</v>
      </c>
      <c r="H83" s="38">
        <v>2</v>
      </c>
      <c r="I83" s="4">
        <v>699.99</v>
      </c>
      <c r="J83" s="4" t="s">
        <v>26</v>
      </c>
      <c r="K83" s="4" t="s">
        <v>40</v>
      </c>
      <c r="L83" s="4" t="s">
        <v>27</v>
      </c>
      <c r="M83" s="8">
        <v>44999</v>
      </c>
      <c r="N83" s="34">
        <v>1399.98</v>
      </c>
      <c r="O83" s="4">
        <f ca="1">DATEDIF(Table1[[#This Row],[Customer_Since]],TODAY(),"Y")</f>
        <v>2</v>
      </c>
      <c r="P83" s="12">
        <f ca="1">DATEDIF(Table1[[#This Row],[Date]],TODAY(),"M")</f>
        <v>19</v>
      </c>
      <c r="Q83" s="12" t="str">
        <f ca="1">IF(Table1[[#This Row],[Months_Since_Purchase]]&gt;12,"Inactive","Active")</f>
        <v>Inactive</v>
      </c>
      <c r="R83" s="14">
        <f>EOMONTH(Table1[[#This Row],[Date]],0)</f>
        <v>45504</v>
      </c>
      <c r="S83" s="13" t="str">
        <f>IF(Table1[[#This Row],[Total_Amount]]&gt;=700,"High",
 IF(Table1[[#This Row],[Total_Amount]]&gt;=300,"Medium","Low"))</f>
        <v>High</v>
      </c>
      <c r="T83" s="13">
        <f>Table1[[#This Row],[Total_Amount]]*(1-$AC$8)*0.3</f>
        <v>305.41579311048065</v>
      </c>
      <c r="U83" s="13">
        <f t="shared" si="2"/>
        <v>15659.65</v>
      </c>
      <c r="V83" s="13" t="str">
        <f>IF(Table1[[#This Row],[Customer_Total_Spend]]&gt;5000,"Yes","No")</f>
        <v>Yes</v>
      </c>
      <c r="W83" s="13">
        <f t="shared" si="3"/>
        <v>31</v>
      </c>
    </row>
    <row r="84" spans="1:23" ht="15" thickBot="1" x14ac:dyDescent="0.35">
      <c r="A84" s="3" t="s">
        <v>209</v>
      </c>
      <c r="B84" s="8">
        <v>45504</v>
      </c>
      <c r="C84" s="4" t="s">
        <v>120</v>
      </c>
      <c r="D84" s="4" t="s">
        <v>121</v>
      </c>
      <c r="E84" s="4" t="s">
        <v>61</v>
      </c>
      <c r="F84" s="4" t="s">
        <v>62</v>
      </c>
      <c r="G84" s="4" t="s">
        <v>19</v>
      </c>
      <c r="H84" s="38">
        <v>4</v>
      </c>
      <c r="I84" s="4">
        <v>899.99</v>
      </c>
      <c r="J84" s="4" t="s">
        <v>57</v>
      </c>
      <c r="K84" s="4" t="s">
        <v>35</v>
      </c>
      <c r="L84" s="4" t="s">
        <v>36</v>
      </c>
      <c r="M84" s="8">
        <v>44523</v>
      </c>
      <c r="N84" s="34">
        <v>3599.96</v>
      </c>
      <c r="O84" s="4">
        <f ca="1">DATEDIF(Table1[[#This Row],[Customer_Since]],TODAY(),"Y")</f>
        <v>4</v>
      </c>
      <c r="P84" s="12">
        <f ca="1">DATEDIF(Table1[[#This Row],[Date]],TODAY(),"M")</f>
        <v>19</v>
      </c>
      <c r="Q84" s="12" t="str">
        <f ca="1">IF(Table1[[#This Row],[Months_Since_Purchase]]&gt;12,"Inactive","Active")</f>
        <v>Inactive</v>
      </c>
      <c r="R84" s="14">
        <f>EOMONTH(Table1[[#This Row],[Date]],0)</f>
        <v>45504</v>
      </c>
      <c r="S84" s="13" t="str">
        <f>IF(Table1[[#This Row],[Total_Amount]]&gt;=700,"High",
 IF(Table1[[#This Row],[Total_Amount]]&gt;=300,"Medium","Low"))</f>
        <v>High</v>
      </c>
      <c r="T84" s="13">
        <f>Table1[[#This Row],[Total_Amount]]*(1-$AC$8)*0.3</f>
        <v>785.35738979557289</v>
      </c>
      <c r="U84" s="13">
        <f t="shared" si="2"/>
        <v>6459.79</v>
      </c>
      <c r="V84" s="13" t="str">
        <f>IF(Table1[[#This Row],[Customer_Total_Spend]]&gt;5000,"Yes","No")</f>
        <v>Yes</v>
      </c>
      <c r="W84" s="13">
        <f t="shared" si="3"/>
        <v>24</v>
      </c>
    </row>
    <row r="85" spans="1:23" ht="15" thickBot="1" x14ac:dyDescent="0.35">
      <c r="A85" s="3" t="s">
        <v>210</v>
      </c>
      <c r="B85" s="8">
        <v>45509</v>
      </c>
      <c r="C85" s="4" t="s">
        <v>211</v>
      </c>
      <c r="D85" s="4" t="s">
        <v>212</v>
      </c>
      <c r="E85" s="4" t="s">
        <v>44</v>
      </c>
      <c r="F85" s="4" t="s">
        <v>45</v>
      </c>
      <c r="G85" s="4" t="s">
        <v>46</v>
      </c>
      <c r="H85" s="38">
        <v>2</v>
      </c>
      <c r="I85" s="4">
        <v>149.99</v>
      </c>
      <c r="J85" s="4" t="s">
        <v>26</v>
      </c>
      <c r="K85" s="4" t="s">
        <v>50</v>
      </c>
      <c r="L85" s="4" t="s">
        <v>22</v>
      </c>
      <c r="M85" s="8">
        <v>44542</v>
      </c>
      <c r="N85" s="34">
        <v>299.98</v>
      </c>
      <c r="O85" s="4">
        <f ca="1">DATEDIF(Table1[[#This Row],[Customer_Since]],TODAY(),"Y")</f>
        <v>4</v>
      </c>
      <c r="P85" s="12">
        <f ca="1">DATEDIF(Table1[[#This Row],[Date]],TODAY(),"M")</f>
        <v>18</v>
      </c>
      <c r="Q85" s="12" t="str">
        <f ca="1">IF(Table1[[#This Row],[Months_Since_Purchase]]&gt;12,"Inactive","Active")</f>
        <v>Inactive</v>
      </c>
      <c r="R85" s="14">
        <f>EOMONTH(Table1[[#This Row],[Date]],0)</f>
        <v>45535</v>
      </c>
      <c r="S85" s="13" t="str">
        <f>IF(Table1[[#This Row],[Total_Amount]]&gt;=700,"High",
 IF(Table1[[#This Row],[Total_Amount]]&gt;=300,"Medium","Low"))</f>
        <v>Low</v>
      </c>
      <c r="T85" s="13">
        <f>Table1[[#This Row],[Total_Amount]]*(1-$AC$8)*0.3</f>
        <v>65.442813195389931</v>
      </c>
      <c r="U85" s="13">
        <f t="shared" si="2"/>
        <v>3649.8599999999997</v>
      </c>
      <c r="V85" s="13" t="str">
        <f>IF(Table1[[#This Row],[Customer_Total_Spend]]&gt;5000,"Yes","No")</f>
        <v>No</v>
      </c>
      <c r="W85" s="13">
        <f t="shared" si="3"/>
        <v>35</v>
      </c>
    </row>
    <row r="86" spans="1:23" ht="15" thickBot="1" x14ac:dyDescent="0.35">
      <c r="A86" s="3" t="s">
        <v>213</v>
      </c>
      <c r="B86" s="8">
        <v>45510</v>
      </c>
      <c r="C86" s="4" t="s">
        <v>102</v>
      </c>
      <c r="D86" s="4" t="s">
        <v>103</v>
      </c>
      <c r="E86" s="4" t="s">
        <v>44</v>
      </c>
      <c r="F86" s="4" t="s">
        <v>45</v>
      </c>
      <c r="G86" s="4" t="s">
        <v>46</v>
      </c>
      <c r="H86" s="38">
        <v>2</v>
      </c>
      <c r="I86" s="4">
        <v>149.99</v>
      </c>
      <c r="J86" s="4" t="s">
        <v>57</v>
      </c>
      <c r="K86" s="4" t="s">
        <v>63</v>
      </c>
      <c r="L86" s="4" t="s">
        <v>36</v>
      </c>
      <c r="M86" s="8">
        <v>44667</v>
      </c>
      <c r="N86" s="34">
        <v>299.98</v>
      </c>
      <c r="O86" s="4">
        <f ca="1">DATEDIF(Table1[[#This Row],[Customer_Since]],TODAY(),"Y")</f>
        <v>3</v>
      </c>
      <c r="P86" s="12">
        <f ca="1">DATEDIF(Table1[[#This Row],[Date]],TODAY(),"M")</f>
        <v>18</v>
      </c>
      <c r="Q86" s="12" t="str">
        <f ca="1">IF(Table1[[#This Row],[Months_Since_Purchase]]&gt;12,"Inactive","Active")</f>
        <v>Inactive</v>
      </c>
      <c r="R86" s="14">
        <f>EOMONTH(Table1[[#This Row],[Date]],0)</f>
        <v>45535</v>
      </c>
      <c r="S86" s="13" t="str">
        <f>IF(Table1[[#This Row],[Total_Amount]]&gt;=700,"High",
 IF(Table1[[#This Row],[Total_Amount]]&gt;=300,"Medium","Low"))</f>
        <v>Low</v>
      </c>
      <c r="T86" s="13">
        <f>Table1[[#This Row],[Total_Amount]]*(1-$AC$8)*0.3</f>
        <v>65.442813195389931</v>
      </c>
      <c r="U86" s="13">
        <f t="shared" si="2"/>
        <v>3769.8300000000004</v>
      </c>
      <c r="V86" s="13" t="str">
        <f>IF(Table1[[#This Row],[Customer_Total_Spend]]&gt;5000,"Yes","No")</f>
        <v>No</v>
      </c>
      <c r="W86" s="13">
        <f t="shared" si="3"/>
        <v>35</v>
      </c>
    </row>
    <row r="87" spans="1:23" ht="15" thickBot="1" x14ac:dyDescent="0.35">
      <c r="A87" s="3" t="s">
        <v>214</v>
      </c>
      <c r="B87" s="8">
        <v>45513</v>
      </c>
      <c r="C87" s="4" t="s">
        <v>89</v>
      </c>
      <c r="D87" s="4" t="s">
        <v>90</v>
      </c>
      <c r="E87" s="4" t="s">
        <v>117</v>
      </c>
      <c r="F87" s="4" t="s">
        <v>118</v>
      </c>
      <c r="G87" s="4" t="s">
        <v>19</v>
      </c>
      <c r="H87" s="38">
        <v>1</v>
      </c>
      <c r="I87" s="4">
        <v>89.99</v>
      </c>
      <c r="J87" s="4" t="s">
        <v>26</v>
      </c>
      <c r="K87" s="4" t="s">
        <v>40</v>
      </c>
      <c r="L87" s="4" t="s">
        <v>36</v>
      </c>
      <c r="M87" s="8">
        <v>45393</v>
      </c>
      <c r="N87" s="34">
        <v>89.99</v>
      </c>
      <c r="O87" s="4">
        <f ca="1">DATEDIF(Table1[[#This Row],[Customer_Since]],TODAY(),"Y")</f>
        <v>1</v>
      </c>
      <c r="P87" s="12">
        <f ca="1">DATEDIF(Table1[[#This Row],[Date]],TODAY(),"M")</f>
        <v>18</v>
      </c>
      <c r="Q87" s="12" t="str">
        <f ca="1">IF(Table1[[#This Row],[Months_Since_Purchase]]&gt;12,"Inactive","Active")</f>
        <v>Inactive</v>
      </c>
      <c r="R87" s="14">
        <f>EOMONTH(Table1[[#This Row],[Date]],0)</f>
        <v>45535</v>
      </c>
      <c r="S87" s="13" t="str">
        <f>IF(Table1[[#This Row],[Total_Amount]]&gt;=700,"High",
 IF(Table1[[#This Row],[Total_Amount]]&gt;=300,"Medium","Low"))</f>
        <v>Low</v>
      </c>
      <c r="T87" s="13">
        <f>Table1[[#This Row],[Total_Amount]]*(1-$AC$8)*0.3</f>
        <v>19.631971329599107</v>
      </c>
      <c r="U87" s="13">
        <f t="shared" si="2"/>
        <v>1909.93</v>
      </c>
      <c r="V87" s="13" t="str">
        <f>IF(Table1[[#This Row],[Customer_Total_Spend]]&gt;5000,"Yes","No")</f>
        <v>No</v>
      </c>
      <c r="W87" s="13">
        <f t="shared" si="3"/>
        <v>34</v>
      </c>
    </row>
    <row r="88" spans="1:23" ht="15" thickBot="1" x14ac:dyDescent="0.35">
      <c r="A88" s="3" t="s">
        <v>215</v>
      </c>
      <c r="B88" s="8">
        <v>45515</v>
      </c>
      <c r="C88" s="4" t="s">
        <v>86</v>
      </c>
      <c r="D88" s="4" t="s">
        <v>87</v>
      </c>
      <c r="E88" s="4" t="s">
        <v>105</v>
      </c>
      <c r="F88" s="4" t="s">
        <v>106</v>
      </c>
      <c r="G88" s="4" t="s">
        <v>46</v>
      </c>
      <c r="H88" s="38">
        <v>5</v>
      </c>
      <c r="I88" s="4">
        <v>299.99</v>
      </c>
      <c r="J88" s="4" t="s">
        <v>26</v>
      </c>
      <c r="K88" s="4" t="s">
        <v>40</v>
      </c>
      <c r="L88" s="4" t="s">
        <v>22</v>
      </c>
      <c r="M88" s="8">
        <v>44965</v>
      </c>
      <c r="N88" s="34">
        <v>1499.95</v>
      </c>
      <c r="O88" s="4">
        <f ca="1">DATEDIF(Table1[[#This Row],[Customer_Since]],TODAY(),"Y")</f>
        <v>3</v>
      </c>
      <c r="P88" s="12">
        <f ca="1">DATEDIF(Table1[[#This Row],[Date]],TODAY(),"M")</f>
        <v>18</v>
      </c>
      <c r="Q88" s="12" t="str">
        <f ca="1">IF(Table1[[#This Row],[Months_Since_Purchase]]&gt;12,"Inactive","Active")</f>
        <v>Inactive</v>
      </c>
      <c r="R88" s="14">
        <f>EOMONTH(Table1[[#This Row],[Date]],0)</f>
        <v>45535</v>
      </c>
      <c r="S88" s="13" t="str">
        <f>IF(Table1[[#This Row],[Total_Amount]]&gt;=700,"High",
 IF(Table1[[#This Row],[Total_Amount]]&gt;=300,"Medium","Low"))</f>
        <v>High</v>
      </c>
      <c r="T88" s="13">
        <f>Table1[[#This Row],[Total_Amount]]*(1-$AC$8)*0.3</f>
        <v>327.22497383967311</v>
      </c>
      <c r="U88" s="13">
        <f t="shared" si="2"/>
        <v>15659.65</v>
      </c>
      <c r="V88" s="13" t="str">
        <f>IF(Table1[[#This Row],[Customer_Total_Spend]]&gt;5000,"Yes","No")</f>
        <v>Yes</v>
      </c>
      <c r="W88" s="13">
        <f t="shared" si="3"/>
        <v>26</v>
      </c>
    </row>
    <row r="89" spans="1:23" ht="15" thickBot="1" x14ac:dyDescent="0.35">
      <c r="A89" s="3" t="s">
        <v>216</v>
      </c>
      <c r="B89" s="8">
        <v>45517</v>
      </c>
      <c r="C89" s="4" t="s">
        <v>182</v>
      </c>
      <c r="D89" s="4" t="s">
        <v>183</v>
      </c>
      <c r="E89" s="4" t="s">
        <v>52</v>
      </c>
      <c r="F89" s="4" t="s">
        <v>53</v>
      </c>
      <c r="G89" s="4" t="s">
        <v>19</v>
      </c>
      <c r="H89" s="38">
        <v>4</v>
      </c>
      <c r="I89" s="4">
        <v>149.99</v>
      </c>
      <c r="J89" s="4" t="s">
        <v>57</v>
      </c>
      <c r="K89" s="4" t="s">
        <v>35</v>
      </c>
      <c r="L89" s="4" t="s">
        <v>27</v>
      </c>
      <c r="M89" s="8">
        <v>44820</v>
      </c>
      <c r="N89" s="34">
        <v>599.96</v>
      </c>
      <c r="O89" s="4">
        <f ca="1">DATEDIF(Table1[[#This Row],[Customer_Since]],TODAY(),"Y")</f>
        <v>3</v>
      </c>
      <c r="P89" s="12">
        <f ca="1">DATEDIF(Table1[[#This Row],[Date]],TODAY(),"M")</f>
        <v>18</v>
      </c>
      <c r="Q89" s="12" t="str">
        <f ca="1">IF(Table1[[#This Row],[Months_Since_Purchase]]&gt;12,"Inactive","Active")</f>
        <v>Inactive</v>
      </c>
      <c r="R89" s="14">
        <f>EOMONTH(Table1[[#This Row],[Date]],0)</f>
        <v>45535</v>
      </c>
      <c r="S89" s="13" t="str">
        <f>IF(Table1[[#This Row],[Total_Amount]]&gt;=700,"High",
 IF(Table1[[#This Row],[Total_Amount]]&gt;=300,"Medium","Low"))</f>
        <v>Medium</v>
      </c>
      <c r="T89" s="13">
        <f>Table1[[#This Row],[Total_Amount]]*(1-$AC$8)*0.3</f>
        <v>130.88562639077986</v>
      </c>
      <c r="U89" s="13">
        <f t="shared" si="2"/>
        <v>1809.84</v>
      </c>
      <c r="V89" s="13" t="str">
        <f>IF(Table1[[#This Row],[Customer_Total_Spend]]&gt;5000,"Yes","No")</f>
        <v>No</v>
      </c>
      <c r="W89" s="13">
        <f t="shared" si="3"/>
        <v>16</v>
      </c>
    </row>
    <row r="90" spans="1:23" ht="15" thickBot="1" x14ac:dyDescent="0.35">
      <c r="A90" s="3" t="s">
        <v>217</v>
      </c>
      <c r="B90" s="8">
        <v>45517</v>
      </c>
      <c r="C90" s="4" t="s">
        <v>185</v>
      </c>
      <c r="D90" s="4" t="s">
        <v>186</v>
      </c>
      <c r="E90" s="4" t="s">
        <v>17</v>
      </c>
      <c r="F90" s="4" t="s">
        <v>18</v>
      </c>
      <c r="G90" s="4" t="s">
        <v>19</v>
      </c>
      <c r="H90" s="38">
        <v>5</v>
      </c>
      <c r="I90" s="4">
        <v>249.99</v>
      </c>
      <c r="J90" s="4" t="s">
        <v>34</v>
      </c>
      <c r="K90" s="4" t="s">
        <v>63</v>
      </c>
      <c r="L90" s="4" t="s">
        <v>27</v>
      </c>
      <c r="M90" s="8">
        <v>44782</v>
      </c>
      <c r="N90" s="34">
        <v>1249.95</v>
      </c>
      <c r="O90" s="4">
        <f ca="1">DATEDIF(Table1[[#This Row],[Customer_Since]],TODAY(),"Y")</f>
        <v>3</v>
      </c>
      <c r="P90" s="12">
        <f ca="1">DATEDIF(Table1[[#This Row],[Date]],TODAY(),"M")</f>
        <v>18</v>
      </c>
      <c r="Q90" s="12" t="str">
        <f ca="1">IF(Table1[[#This Row],[Months_Since_Purchase]]&gt;12,"Inactive","Active")</f>
        <v>Inactive</v>
      </c>
      <c r="R90" s="14">
        <f>EOMONTH(Table1[[#This Row],[Date]],0)</f>
        <v>45535</v>
      </c>
      <c r="S90" s="13" t="str">
        <f>IF(Table1[[#This Row],[Total_Amount]]&gt;=700,"High",
 IF(Table1[[#This Row],[Total_Amount]]&gt;=300,"Medium","Low"))</f>
        <v>High</v>
      </c>
      <c r="T90" s="13">
        <f>Table1[[#This Row],[Total_Amount]]*(1-$AC$8)*0.3</f>
        <v>272.685660222607</v>
      </c>
      <c r="U90" s="13">
        <f t="shared" si="2"/>
        <v>2099.88</v>
      </c>
      <c r="V90" s="13" t="str">
        <f>IF(Table1[[#This Row],[Customer_Total_Spend]]&gt;5000,"Yes","No")</f>
        <v>No</v>
      </c>
      <c r="W90" s="13">
        <f t="shared" si="3"/>
        <v>26</v>
      </c>
    </row>
    <row r="91" spans="1:23" ht="15" thickBot="1" x14ac:dyDescent="0.35">
      <c r="A91" s="3" t="s">
        <v>218</v>
      </c>
      <c r="B91" s="8">
        <v>45517</v>
      </c>
      <c r="C91" s="4" t="s">
        <v>65</v>
      </c>
      <c r="D91" s="4" t="s">
        <v>66</v>
      </c>
      <c r="E91" s="4" t="s">
        <v>17</v>
      </c>
      <c r="F91" s="4" t="s">
        <v>18</v>
      </c>
      <c r="G91" s="4" t="s">
        <v>19</v>
      </c>
      <c r="H91" s="38">
        <v>3</v>
      </c>
      <c r="I91" s="4">
        <v>249.99</v>
      </c>
      <c r="J91" s="4" t="s">
        <v>34</v>
      </c>
      <c r="K91" s="4" t="s">
        <v>40</v>
      </c>
      <c r="L91" s="4" t="s">
        <v>27</v>
      </c>
      <c r="M91" s="8">
        <v>44465</v>
      </c>
      <c r="N91" s="34">
        <v>749.97</v>
      </c>
      <c r="O91" s="4">
        <f ca="1">DATEDIF(Table1[[#This Row],[Customer_Since]],TODAY(),"Y")</f>
        <v>4</v>
      </c>
      <c r="P91" s="12">
        <f ca="1">DATEDIF(Table1[[#This Row],[Date]],TODAY(),"M")</f>
        <v>18</v>
      </c>
      <c r="Q91" s="12" t="str">
        <f ca="1">IF(Table1[[#This Row],[Months_Since_Purchase]]&gt;12,"Inactive","Active")</f>
        <v>Inactive</v>
      </c>
      <c r="R91" s="14">
        <f>EOMONTH(Table1[[#This Row],[Date]],0)</f>
        <v>45535</v>
      </c>
      <c r="S91" s="13" t="str">
        <f>IF(Table1[[#This Row],[Total_Amount]]&gt;=700,"High",
 IF(Table1[[#This Row],[Total_Amount]]&gt;=300,"Medium","Low"))</f>
        <v>High</v>
      </c>
      <c r="T91" s="13">
        <f>Table1[[#This Row],[Total_Amount]]*(1-$AC$8)*0.3</f>
        <v>163.6113961335642</v>
      </c>
      <c r="U91" s="13">
        <f t="shared" si="2"/>
        <v>8009.7699999999995</v>
      </c>
      <c r="V91" s="13" t="str">
        <f>IF(Table1[[#This Row],[Customer_Total_Spend]]&gt;5000,"Yes","No")</f>
        <v>Yes</v>
      </c>
      <c r="W91" s="13">
        <f t="shared" si="3"/>
        <v>26</v>
      </c>
    </row>
    <row r="92" spans="1:23" ht="15" thickBot="1" x14ac:dyDescent="0.35">
      <c r="A92" s="3" t="s">
        <v>219</v>
      </c>
      <c r="B92" s="8">
        <v>45517</v>
      </c>
      <c r="C92" s="4" t="s">
        <v>38</v>
      </c>
      <c r="D92" s="4" t="s">
        <v>39</v>
      </c>
      <c r="E92" s="4" t="s">
        <v>126</v>
      </c>
      <c r="F92" s="4" t="s">
        <v>127</v>
      </c>
      <c r="G92" s="4" t="s">
        <v>46</v>
      </c>
      <c r="H92" s="38">
        <v>4</v>
      </c>
      <c r="I92" s="4">
        <v>199.99</v>
      </c>
      <c r="J92" s="4" t="s">
        <v>20</v>
      </c>
      <c r="K92" s="4" t="s">
        <v>40</v>
      </c>
      <c r="L92" s="4" t="s">
        <v>36</v>
      </c>
      <c r="M92" s="8">
        <v>44458</v>
      </c>
      <c r="N92" s="34">
        <v>799.96</v>
      </c>
      <c r="O92" s="4">
        <f ca="1">DATEDIF(Table1[[#This Row],[Customer_Since]],TODAY(),"Y")</f>
        <v>4</v>
      </c>
      <c r="P92" s="12">
        <f ca="1">DATEDIF(Table1[[#This Row],[Date]],TODAY(),"M")</f>
        <v>18</v>
      </c>
      <c r="Q92" s="12" t="str">
        <f ca="1">IF(Table1[[#This Row],[Months_Since_Purchase]]&gt;12,"Inactive","Active")</f>
        <v>Inactive</v>
      </c>
      <c r="R92" s="14">
        <f>EOMONTH(Table1[[#This Row],[Date]],0)</f>
        <v>45535</v>
      </c>
      <c r="S92" s="13" t="str">
        <f>IF(Table1[[#This Row],[Total_Amount]]&gt;=700,"High",
 IF(Table1[[#This Row],[Total_Amount]]&gt;=300,"Medium","Low"))</f>
        <v>High</v>
      </c>
      <c r="T92" s="13">
        <f>Table1[[#This Row],[Total_Amount]]*(1-$AC$8)*0.3</f>
        <v>174.51707728443276</v>
      </c>
      <c r="U92" s="13">
        <f t="shared" si="2"/>
        <v>4309.8099999999995</v>
      </c>
      <c r="V92" s="13" t="str">
        <f>IF(Table1[[#This Row],[Customer_Total_Spend]]&gt;5000,"Yes","No")</f>
        <v>No</v>
      </c>
      <c r="W92" s="13">
        <f t="shared" si="3"/>
        <v>15</v>
      </c>
    </row>
    <row r="93" spans="1:23" ht="15" thickBot="1" x14ac:dyDescent="0.35">
      <c r="A93" s="3" t="s">
        <v>220</v>
      </c>
      <c r="B93" s="8">
        <v>45519</v>
      </c>
      <c r="C93" s="4" t="s">
        <v>158</v>
      </c>
      <c r="D93" s="4" t="s">
        <v>159</v>
      </c>
      <c r="E93" s="4" t="s">
        <v>126</v>
      </c>
      <c r="F93" s="4" t="s">
        <v>127</v>
      </c>
      <c r="G93" s="4" t="s">
        <v>46</v>
      </c>
      <c r="H93" s="38">
        <v>5</v>
      </c>
      <c r="I93" s="4">
        <v>199.99</v>
      </c>
      <c r="J93" s="4" t="s">
        <v>20</v>
      </c>
      <c r="K93" s="4" t="s">
        <v>40</v>
      </c>
      <c r="L93" s="4" t="s">
        <v>27</v>
      </c>
      <c r="M93" s="8">
        <v>44991</v>
      </c>
      <c r="N93" s="34">
        <v>999.95</v>
      </c>
      <c r="O93" s="4">
        <f ca="1">DATEDIF(Table1[[#This Row],[Customer_Since]],TODAY(),"Y")</f>
        <v>2</v>
      </c>
      <c r="P93" s="12">
        <f ca="1">DATEDIF(Table1[[#This Row],[Date]],TODAY(),"M")</f>
        <v>18</v>
      </c>
      <c r="Q93" s="12" t="str">
        <f ca="1">IF(Table1[[#This Row],[Months_Since_Purchase]]&gt;12,"Inactive","Active")</f>
        <v>Inactive</v>
      </c>
      <c r="R93" s="14">
        <f>EOMONTH(Table1[[#This Row],[Date]],0)</f>
        <v>45535</v>
      </c>
      <c r="S93" s="13" t="str">
        <f>IF(Table1[[#This Row],[Total_Amount]]&gt;=700,"High",
 IF(Table1[[#This Row],[Total_Amount]]&gt;=300,"Medium","Low"))</f>
        <v>High</v>
      </c>
      <c r="T93" s="13">
        <f>Table1[[#This Row],[Total_Amount]]*(1-$AC$8)*0.3</f>
        <v>218.14634660554094</v>
      </c>
      <c r="U93" s="13">
        <f t="shared" si="2"/>
        <v>5649.84</v>
      </c>
      <c r="V93" s="13" t="str">
        <f>IF(Table1[[#This Row],[Customer_Total_Spend]]&gt;5000,"Yes","No")</f>
        <v>Yes</v>
      </c>
      <c r="W93" s="13">
        <f t="shared" si="3"/>
        <v>15</v>
      </c>
    </row>
    <row r="94" spans="1:23" ht="15" thickBot="1" x14ac:dyDescent="0.35">
      <c r="A94" s="3" t="s">
        <v>221</v>
      </c>
      <c r="B94" s="8">
        <v>45522</v>
      </c>
      <c r="C94" s="4" t="s">
        <v>86</v>
      </c>
      <c r="D94" s="4" t="s">
        <v>87</v>
      </c>
      <c r="E94" s="4" t="s">
        <v>117</v>
      </c>
      <c r="F94" s="4" t="s">
        <v>118</v>
      </c>
      <c r="G94" s="4" t="s">
        <v>19</v>
      </c>
      <c r="H94" s="38">
        <v>2</v>
      </c>
      <c r="I94" s="4">
        <v>89.99</v>
      </c>
      <c r="J94" s="4" t="s">
        <v>20</v>
      </c>
      <c r="K94" s="4" t="s">
        <v>63</v>
      </c>
      <c r="L94" s="4" t="s">
        <v>27</v>
      </c>
      <c r="M94" s="8">
        <v>44972</v>
      </c>
      <c r="N94" s="34">
        <v>179.98</v>
      </c>
      <c r="O94" s="4">
        <f ca="1">DATEDIF(Table1[[#This Row],[Customer_Since]],TODAY(),"Y")</f>
        <v>3</v>
      </c>
      <c r="P94" s="12">
        <f ca="1">DATEDIF(Table1[[#This Row],[Date]],TODAY(),"M")</f>
        <v>18</v>
      </c>
      <c r="Q94" s="12" t="str">
        <f ca="1">IF(Table1[[#This Row],[Months_Since_Purchase]]&gt;12,"Inactive","Active")</f>
        <v>Inactive</v>
      </c>
      <c r="R94" s="14">
        <f>EOMONTH(Table1[[#This Row],[Date]],0)</f>
        <v>45535</v>
      </c>
      <c r="S94" s="13" t="str">
        <f>IF(Table1[[#This Row],[Total_Amount]]&gt;=700,"High",
 IF(Table1[[#This Row],[Total_Amount]]&gt;=300,"Medium","Low"))</f>
        <v>Low</v>
      </c>
      <c r="T94" s="13">
        <f>Table1[[#This Row],[Total_Amount]]*(1-$AC$8)*0.3</f>
        <v>39.263942659198214</v>
      </c>
      <c r="U94" s="13">
        <f t="shared" si="2"/>
        <v>15659.65</v>
      </c>
      <c r="V94" s="13" t="str">
        <f>IF(Table1[[#This Row],[Customer_Total_Spend]]&gt;5000,"Yes","No")</f>
        <v>Yes</v>
      </c>
      <c r="W94" s="13">
        <f t="shared" si="3"/>
        <v>34</v>
      </c>
    </row>
    <row r="95" spans="1:23" ht="15" thickBot="1" x14ac:dyDescent="0.35">
      <c r="A95" s="3" t="s">
        <v>222</v>
      </c>
      <c r="B95" s="8">
        <v>45523</v>
      </c>
      <c r="C95" s="4" t="s">
        <v>196</v>
      </c>
      <c r="D95" s="4" t="s">
        <v>197</v>
      </c>
      <c r="E95" s="4" t="s">
        <v>61</v>
      </c>
      <c r="F95" s="4" t="s">
        <v>62</v>
      </c>
      <c r="G95" s="4" t="s">
        <v>19</v>
      </c>
      <c r="H95" s="38">
        <v>5</v>
      </c>
      <c r="I95" s="4">
        <v>899.99</v>
      </c>
      <c r="J95" s="4" t="s">
        <v>57</v>
      </c>
      <c r="K95" s="4" t="s">
        <v>63</v>
      </c>
      <c r="L95" s="4" t="s">
        <v>22</v>
      </c>
      <c r="M95" s="8">
        <v>44526</v>
      </c>
      <c r="N95" s="34">
        <v>4499.95</v>
      </c>
      <c r="O95" s="4">
        <f ca="1">DATEDIF(Table1[[#This Row],[Customer_Since]],TODAY(),"Y")</f>
        <v>4</v>
      </c>
      <c r="P95" s="12">
        <f ca="1">DATEDIF(Table1[[#This Row],[Date]],TODAY(),"M")</f>
        <v>18</v>
      </c>
      <c r="Q95" s="12" t="str">
        <f ca="1">IF(Table1[[#This Row],[Months_Since_Purchase]]&gt;12,"Inactive","Active")</f>
        <v>Inactive</v>
      </c>
      <c r="R95" s="14">
        <f>EOMONTH(Table1[[#This Row],[Date]],0)</f>
        <v>45535</v>
      </c>
      <c r="S95" s="13" t="str">
        <f>IF(Table1[[#This Row],[Total_Amount]]&gt;=700,"High",
 IF(Table1[[#This Row],[Total_Amount]]&gt;=300,"Medium","Low"))</f>
        <v>High</v>
      </c>
      <c r="T95" s="13">
        <f>Table1[[#This Row],[Total_Amount]]*(1-$AC$8)*0.3</f>
        <v>981.69673724446602</v>
      </c>
      <c r="U95" s="13">
        <f t="shared" si="2"/>
        <v>6379.87</v>
      </c>
      <c r="V95" s="13" t="str">
        <f>IF(Table1[[#This Row],[Customer_Total_Spend]]&gt;5000,"Yes","No")</f>
        <v>Yes</v>
      </c>
      <c r="W95" s="13">
        <f t="shared" si="3"/>
        <v>24</v>
      </c>
    </row>
    <row r="96" spans="1:23" ht="15" thickBot="1" x14ac:dyDescent="0.35">
      <c r="A96" s="3" t="s">
        <v>223</v>
      </c>
      <c r="B96" s="8">
        <v>45523</v>
      </c>
      <c r="C96" s="4" t="s">
        <v>108</v>
      </c>
      <c r="D96" s="4" t="s">
        <v>109</v>
      </c>
      <c r="E96" s="4" t="s">
        <v>52</v>
      </c>
      <c r="F96" s="4" t="s">
        <v>53</v>
      </c>
      <c r="G96" s="4" t="s">
        <v>19</v>
      </c>
      <c r="H96" s="38">
        <v>3</v>
      </c>
      <c r="I96" s="4">
        <v>149.99</v>
      </c>
      <c r="J96" s="4" t="s">
        <v>34</v>
      </c>
      <c r="K96" s="4" t="s">
        <v>63</v>
      </c>
      <c r="L96" s="4" t="s">
        <v>22</v>
      </c>
      <c r="M96" s="8">
        <v>44574</v>
      </c>
      <c r="N96" s="34">
        <v>449.97</v>
      </c>
      <c r="O96" s="4">
        <f ca="1">DATEDIF(Table1[[#This Row],[Customer_Since]],TODAY(),"Y")</f>
        <v>4</v>
      </c>
      <c r="P96" s="12">
        <f ca="1">DATEDIF(Table1[[#This Row],[Date]],TODAY(),"M")</f>
        <v>18</v>
      </c>
      <c r="Q96" s="12" t="str">
        <f ca="1">IF(Table1[[#This Row],[Months_Since_Purchase]]&gt;12,"Inactive","Active")</f>
        <v>Inactive</v>
      </c>
      <c r="R96" s="14">
        <f>EOMONTH(Table1[[#This Row],[Date]],0)</f>
        <v>45535</v>
      </c>
      <c r="S96" s="13" t="str">
        <f>IF(Table1[[#This Row],[Total_Amount]]&gt;=700,"High",
 IF(Table1[[#This Row],[Total_Amount]]&gt;=300,"Medium","Low"))</f>
        <v>Medium</v>
      </c>
      <c r="T96" s="13">
        <f>Table1[[#This Row],[Total_Amount]]*(1-$AC$8)*0.3</f>
        <v>98.164219793084911</v>
      </c>
      <c r="U96" s="13">
        <f t="shared" si="2"/>
        <v>4189.7700000000004</v>
      </c>
      <c r="V96" s="13" t="str">
        <f>IF(Table1[[#This Row],[Customer_Total_Spend]]&gt;5000,"Yes","No")</f>
        <v>No</v>
      </c>
      <c r="W96" s="13">
        <f t="shared" si="3"/>
        <v>16</v>
      </c>
    </row>
    <row r="97" spans="1:23" ht="15" thickBot="1" x14ac:dyDescent="0.35">
      <c r="A97" s="3" t="s">
        <v>224</v>
      </c>
      <c r="B97" s="8">
        <v>45526</v>
      </c>
      <c r="C97" s="4" t="s">
        <v>102</v>
      </c>
      <c r="D97" s="4" t="s">
        <v>103</v>
      </c>
      <c r="E97" s="4" t="s">
        <v>44</v>
      </c>
      <c r="F97" s="4" t="s">
        <v>45</v>
      </c>
      <c r="G97" s="4" t="s">
        <v>46</v>
      </c>
      <c r="H97" s="38">
        <v>5</v>
      </c>
      <c r="I97" s="4">
        <v>149.99</v>
      </c>
      <c r="J97" s="4" t="s">
        <v>26</v>
      </c>
      <c r="K97" s="4" t="s">
        <v>21</v>
      </c>
      <c r="L97" s="4" t="s">
        <v>22</v>
      </c>
      <c r="M97" s="8">
        <v>45310</v>
      </c>
      <c r="N97" s="34">
        <v>749.95</v>
      </c>
      <c r="O97" s="4">
        <f ca="1">DATEDIF(Table1[[#This Row],[Customer_Since]],TODAY(),"Y")</f>
        <v>2</v>
      </c>
      <c r="P97" s="12">
        <f ca="1">DATEDIF(Table1[[#This Row],[Date]],TODAY(),"M")</f>
        <v>18</v>
      </c>
      <c r="Q97" s="12" t="str">
        <f ca="1">IF(Table1[[#This Row],[Months_Since_Purchase]]&gt;12,"Inactive","Active")</f>
        <v>Inactive</v>
      </c>
      <c r="R97" s="14">
        <f>EOMONTH(Table1[[#This Row],[Date]],0)</f>
        <v>45535</v>
      </c>
      <c r="S97" s="13" t="str">
        <f>IF(Table1[[#This Row],[Total_Amount]]&gt;=700,"High",
 IF(Table1[[#This Row],[Total_Amount]]&gt;=300,"Medium","Low"))</f>
        <v>High</v>
      </c>
      <c r="T97" s="13">
        <f>Table1[[#This Row],[Total_Amount]]*(1-$AC$8)*0.3</f>
        <v>163.60703298847483</v>
      </c>
      <c r="U97" s="13">
        <f t="shared" si="2"/>
        <v>3769.8300000000004</v>
      </c>
      <c r="V97" s="13" t="str">
        <f>IF(Table1[[#This Row],[Customer_Total_Spend]]&gt;5000,"Yes","No")</f>
        <v>No</v>
      </c>
      <c r="W97" s="13">
        <f t="shared" si="3"/>
        <v>35</v>
      </c>
    </row>
    <row r="98" spans="1:23" ht="15" thickBot="1" x14ac:dyDescent="0.35">
      <c r="A98" s="3" t="s">
        <v>225</v>
      </c>
      <c r="B98" s="8">
        <v>45528</v>
      </c>
      <c r="C98" s="4" t="s">
        <v>226</v>
      </c>
      <c r="D98" s="4" t="s">
        <v>227</v>
      </c>
      <c r="E98" s="4" t="s">
        <v>114</v>
      </c>
      <c r="F98" s="4" t="s">
        <v>115</v>
      </c>
      <c r="G98" s="4" t="s">
        <v>33</v>
      </c>
      <c r="H98" s="38">
        <v>3</v>
      </c>
      <c r="I98" s="4">
        <v>79.989999999999995</v>
      </c>
      <c r="J98" s="4" t="s">
        <v>20</v>
      </c>
      <c r="K98" s="4" t="s">
        <v>21</v>
      </c>
      <c r="L98" s="4" t="s">
        <v>27</v>
      </c>
      <c r="M98" s="8">
        <v>44779</v>
      </c>
      <c r="N98" s="34">
        <v>239.97</v>
      </c>
      <c r="O98" s="4">
        <f ca="1">DATEDIF(Table1[[#This Row],[Customer_Since]],TODAY(),"Y")</f>
        <v>3</v>
      </c>
      <c r="P98" s="12">
        <f ca="1">DATEDIF(Table1[[#This Row],[Date]],TODAY(),"M")</f>
        <v>18</v>
      </c>
      <c r="Q98" s="12" t="str">
        <f ca="1">IF(Table1[[#This Row],[Months_Since_Purchase]]&gt;12,"Inactive","Active")</f>
        <v>Inactive</v>
      </c>
      <c r="R98" s="14">
        <f>EOMONTH(Table1[[#This Row],[Date]],0)</f>
        <v>45535</v>
      </c>
      <c r="S98" s="13" t="str">
        <f>IF(Table1[[#This Row],[Total_Amount]]&gt;=700,"High",
 IF(Table1[[#This Row],[Total_Amount]]&gt;=300,"Medium","Low"))</f>
        <v>Low</v>
      </c>
      <c r="T98" s="13">
        <f>Table1[[#This Row],[Total_Amount]]*(1-$AC$8)*0.3</f>
        <v>52.351196354749391</v>
      </c>
      <c r="U98" s="13">
        <f t="shared" si="2"/>
        <v>6989.7699999999986</v>
      </c>
      <c r="V98" s="13" t="str">
        <f>IF(Table1[[#This Row],[Customer_Total_Spend]]&gt;5000,"Yes","No")</f>
        <v>Yes</v>
      </c>
      <c r="W98" s="13">
        <f t="shared" si="3"/>
        <v>14</v>
      </c>
    </row>
    <row r="99" spans="1:23" ht="15" thickBot="1" x14ac:dyDescent="0.35">
      <c r="A99" s="3" t="s">
        <v>228</v>
      </c>
      <c r="B99" s="8">
        <v>45528</v>
      </c>
      <c r="C99" s="4" t="s">
        <v>144</v>
      </c>
      <c r="D99" s="4" t="s">
        <v>145</v>
      </c>
      <c r="E99" s="4" t="s">
        <v>17</v>
      </c>
      <c r="F99" s="4" t="s">
        <v>18</v>
      </c>
      <c r="G99" s="4" t="s">
        <v>19</v>
      </c>
      <c r="H99" s="38">
        <v>2</v>
      </c>
      <c r="I99" s="4">
        <v>249.99</v>
      </c>
      <c r="J99" s="4" t="s">
        <v>20</v>
      </c>
      <c r="K99" s="4" t="s">
        <v>35</v>
      </c>
      <c r="L99" s="4" t="s">
        <v>36</v>
      </c>
      <c r="M99" s="8">
        <v>44572</v>
      </c>
      <c r="N99" s="34">
        <v>499.98</v>
      </c>
      <c r="O99" s="4">
        <f ca="1">DATEDIF(Table1[[#This Row],[Customer_Since]],TODAY(),"Y")</f>
        <v>4</v>
      </c>
      <c r="P99" s="12">
        <f ca="1">DATEDIF(Table1[[#This Row],[Date]],TODAY(),"M")</f>
        <v>18</v>
      </c>
      <c r="Q99" s="12" t="str">
        <f ca="1">IF(Table1[[#This Row],[Months_Since_Purchase]]&gt;12,"Inactive","Active")</f>
        <v>Inactive</v>
      </c>
      <c r="R99" s="14">
        <f>EOMONTH(Table1[[#This Row],[Date]],0)</f>
        <v>45535</v>
      </c>
      <c r="S99" s="13" t="str">
        <f>IF(Table1[[#This Row],[Total_Amount]]&gt;=700,"High",
 IF(Table1[[#This Row],[Total_Amount]]&gt;=300,"Medium","Low"))</f>
        <v>Medium</v>
      </c>
      <c r="T99" s="13">
        <f>Table1[[#This Row],[Total_Amount]]*(1-$AC$8)*0.3</f>
        <v>109.07426408904281</v>
      </c>
      <c r="U99" s="13">
        <f t="shared" si="2"/>
        <v>5519.8899999999994</v>
      </c>
      <c r="V99" s="13" t="str">
        <f>IF(Table1[[#This Row],[Customer_Total_Spend]]&gt;5000,"Yes","No")</f>
        <v>Yes</v>
      </c>
      <c r="W99" s="13">
        <f t="shared" si="3"/>
        <v>26</v>
      </c>
    </row>
    <row r="100" spans="1:23" ht="15" thickBot="1" x14ac:dyDescent="0.35">
      <c r="A100" s="3" t="s">
        <v>229</v>
      </c>
      <c r="B100" s="8">
        <v>45532</v>
      </c>
      <c r="C100" s="4" t="s">
        <v>196</v>
      </c>
      <c r="D100" s="4" t="s">
        <v>197</v>
      </c>
      <c r="E100" s="4" t="s">
        <v>80</v>
      </c>
      <c r="F100" s="4" t="s">
        <v>81</v>
      </c>
      <c r="G100" s="4" t="s">
        <v>19</v>
      </c>
      <c r="H100" s="38">
        <v>1</v>
      </c>
      <c r="I100" s="4">
        <v>699.99</v>
      </c>
      <c r="J100" s="4" t="s">
        <v>20</v>
      </c>
      <c r="K100" s="4" t="s">
        <v>21</v>
      </c>
      <c r="L100" s="4" t="s">
        <v>27</v>
      </c>
      <c r="M100" s="8">
        <v>44497</v>
      </c>
      <c r="N100" s="34">
        <v>699.99</v>
      </c>
      <c r="O100" s="4">
        <f ca="1">DATEDIF(Table1[[#This Row],[Customer_Since]],TODAY(),"Y")</f>
        <v>4</v>
      </c>
      <c r="P100" s="12">
        <f ca="1">DATEDIF(Table1[[#This Row],[Date]],TODAY(),"M")</f>
        <v>18</v>
      </c>
      <c r="Q100" s="12" t="str">
        <f ca="1">IF(Table1[[#This Row],[Months_Since_Purchase]]&gt;12,"Inactive","Active")</f>
        <v>Inactive</v>
      </c>
      <c r="R100" s="14">
        <f>EOMONTH(Table1[[#This Row],[Date]],0)</f>
        <v>45535</v>
      </c>
      <c r="S100" s="13" t="str">
        <f>IF(Table1[[#This Row],[Total_Amount]]&gt;=700,"High",
 IF(Table1[[#This Row],[Total_Amount]]&gt;=300,"Medium","Low"))</f>
        <v>Medium</v>
      </c>
      <c r="T100" s="13">
        <f>Table1[[#This Row],[Total_Amount]]*(1-$AC$8)*0.3</f>
        <v>152.70789655524032</v>
      </c>
      <c r="U100" s="13">
        <f t="shared" si="2"/>
        <v>6379.87</v>
      </c>
      <c r="V100" s="13" t="str">
        <f>IF(Table1[[#This Row],[Customer_Total_Spend]]&gt;5000,"Yes","No")</f>
        <v>Yes</v>
      </c>
      <c r="W100" s="13">
        <f t="shared" si="3"/>
        <v>31</v>
      </c>
    </row>
    <row r="101" spans="1:23" ht="15" thickBot="1" x14ac:dyDescent="0.35">
      <c r="A101" s="3" t="s">
        <v>230</v>
      </c>
      <c r="B101" s="8">
        <v>45532</v>
      </c>
      <c r="C101" s="4" t="s">
        <v>231</v>
      </c>
      <c r="D101" s="4" t="s">
        <v>232</v>
      </c>
      <c r="E101" s="4" t="s">
        <v>52</v>
      </c>
      <c r="F101" s="4" t="s">
        <v>53</v>
      </c>
      <c r="G101" s="4" t="s">
        <v>19</v>
      </c>
      <c r="H101" s="38">
        <v>3</v>
      </c>
      <c r="I101" s="4">
        <v>149.99</v>
      </c>
      <c r="J101" s="4" t="s">
        <v>20</v>
      </c>
      <c r="K101" s="4" t="s">
        <v>50</v>
      </c>
      <c r="L101" s="4" t="s">
        <v>27</v>
      </c>
      <c r="M101" s="8">
        <v>45212</v>
      </c>
      <c r="N101" s="34">
        <v>449.97</v>
      </c>
      <c r="O101" s="4">
        <f ca="1">DATEDIF(Table1[[#This Row],[Customer_Since]],TODAY(),"Y")</f>
        <v>2</v>
      </c>
      <c r="P101" s="12">
        <f ca="1">DATEDIF(Table1[[#This Row],[Date]],TODAY(),"M")</f>
        <v>18</v>
      </c>
      <c r="Q101" s="12" t="str">
        <f ca="1">IF(Table1[[#This Row],[Months_Since_Purchase]]&gt;12,"Inactive","Active")</f>
        <v>Inactive</v>
      </c>
      <c r="R101" s="14">
        <f>EOMONTH(Table1[[#This Row],[Date]],0)</f>
        <v>45535</v>
      </c>
      <c r="S101" s="13" t="str">
        <f>IF(Table1[[#This Row],[Total_Amount]]&gt;=700,"High",
 IF(Table1[[#This Row],[Total_Amount]]&gt;=300,"Medium","Low"))</f>
        <v>Medium</v>
      </c>
      <c r="T101" s="13">
        <f>Table1[[#This Row],[Total_Amount]]*(1-$AC$8)*0.3</f>
        <v>98.164219793084911</v>
      </c>
      <c r="U101" s="13">
        <f t="shared" si="2"/>
        <v>1149.93</v>
      </c>
      <c r="V101" s="13" t="str">
        <f>IF(Table1[[#This Row],[Customer_Total_Spend]]&gt;5000,"Yes","No")</f>
        <v>No</v>
      </c>
      <c r="W101" s="13">
        <f t="shared" si="3"/>
        <v>16</v>
      </c>
    </row>
    <row r="102" spans="1:23" ht="15" thickBot="1" x14ac:dyDescent="0.35">
      <c r="A102" s="3" t="s">
        <v>233</v>
      </c>
      <c r="B102" s="8">
        <v>45534</v>
      </c>
      <c r="C102" s="4" t="s">
        <v>234</v>
      </c>
      <c r="D102" s="4" t="s">
        <v>235</v>
      </c>
      <c r="E102" s="4" t="s">
        <v>80</v>
      </c>
      <c r="F102" s="4" t="s">
        <v>81</v>
      </c>
      <c r="G102" s="4" t="s">
        <v>19</v>
      </c>
      <c r="H102" s="38">
        <v>2</v>
      </c>
      <c r="I102" s="4">
        <v>699.99</v>
      </c>
      <c r="J102" s="4" t="s">
        <v>26</v>
      </c>
      <c r="K102" s="4" t="s">
        <v>40</v>
      </c>
      <c r="L102" s="4" t="s">
        <v>27</v>
      </c>
      <c r="M102" s="8">
        <v>44421</v>
      </c>
      <c r="N102" s="34">
        <v>1399.98</v>
      </c>
      <c r="O102" s="4">
        <f ca="1">DATEDIF(Table1[[#This Row],[Customer_Since]],TODAY(),"Y")</f>
        <v>4</v>
      </c>
      <c r="P102" s="12">
        <f ca="1">DATEDIF(Table1[[#This Row],[Date]],TODAY(),"M")</f>
        <v>18</v>
      </c>
      <c r="Q102" s="12" t="str">
        <f ca="1">IF(Table1[[#This Row],[Months_Since_Purchase]]&gt;12,"Inactive","Active")</f>
        <v>Inactive</v>
      </c>
      <c r="R102" s="14">
        <f>EOMONTH(Table1[[#This Row],[Date]],0)</f>
        <v>45535</v>
      </c>
      <c r="S102" s="13" t="str">
        <f>IF(Table1[[#This Row],[Total_Amount]]&gt;=700,"High",
 IF(Table1[[#This Row],[Total_Amount]]&gt;=300,"Medium","Low"))</f>
        <v>High</v>
      </c>
      <c r="T102" s="13">
        <f>Table1[[#This Row],[Total_Amount]]*(1-$AC$8)*0.3</f>
        <v>305.41579311048065</v>
      </c>
      <c r="U102" s="13">
        <f t="shared" si="2"/>
        <v>6349.83</v>
      </c>
      <c r="V102" s="13" t="str">
        <f>IF(Table1[[#This Row],[Customer_Total_Spend]]&gt;5000,"Yes","No")</f>
        <v>Yes</v>
      </c>
      <c r="W102" s="13">
        <f t="shared" si="3"/>
        <v>31</v>
      </c>
    </row>
    <row r="103" spans="1:23" ht="15" thickBot="1" x14ac:dyDescent="0.35">
      <c r="A103" s="3" t="s">
        <v>236</v>
      </c>
      <c r="B103" s="8">
        <v>45537</v>
      </c>
      <c r="C103" s="4" t="s">
        <v>231</v>
      </c>
      <c r="D103" s="4" t="s">
        <v>232</v>
      </c>
      <c r="E103" s="4" t="s">
        <v>17</v>
      </c>
      <c r="F103" s="4" t="s">
        <v>18</v>
      </c>
      <c r="G103" s="4" t="s">
        <v>19</v>
      </c>
      <c r="H103" s="38">
        <v>1</v>
      </c>
      <c r="I103" s="4">
        <v>249.99</v>
      </c>
      <c r="J103" s="4" t="s">
        <v>26</v>
      </c>
      <c r="K103" s="4" t="s">
        <v>50</v>
      </c>
      <c r="L103" s="4" t="s">
        <v>27</v>
      </c>
      <c r="M103" s="8">
        <v>44685</v>
      </c>
      <c r="N103" s="34">
        <v>249.99</v>
      </c>
      <c r="O103" s="4">
        <f ca="1">DATEDIF(Table1[[#This Row],[Customer_Since]],TODAY(),"Y")</f>
        <v>3</v>
      </c>
      <c r="P103" s="12">
        <f ca="1">DATEDIF(Table1[[#This Row],[Date]],TODAY(),"M")</f>
        <v>18</v>
      </c>
      <c r="Q103" s="12" t="str">
        <f ca="1">IF(Table1[[#This Row],[Months_Since_Purchase]]&gt;12,"Inactive","Active")</f>
        <v>Inactive</v>
      </c>
      <c r="R103" s="14">
        <f>EOMONTH(Table1[[#This Row],[Date]],0)</f>
        <v>45565</v>
      </c>
      <c r="S103" s="13" t="str">
        <f>IF(Table1[[#This Row],[Total_Amount]]&gt;=700,"High",
 IF(Table1[[#This Row],[Total_Amount]]&gt;=300,"Medium","Low"))</f>
        <v>Low</v>
      </c>
      <c r="T103" s="13">
        <f>Table1[[#This Row],[Total_Amount]]*(1-$AC$8)*0.3</f>
        <v>54.537132044521407</v>
      </c>
      <c r="U103" s="13">
        <f t="shared" si="2"/>
        <v>1149.93</v>
      </c>
      <c r="V103" s="13" t="str">
        <f>IF(Table1[[#This Row],[Customer_Total_Spend]]&gt;5000,"Yes","No")</f>
        <v>No</v>
      </c>
      <c r="W103" s="13">
        <f t="shared" si="3"/>
        <v>26</v>
      </c>
    </row>
    <row r="104" spans="1:23" ht="15" thickBot="1" x14ac:dyDescent="0.35">
      <c r="A104" s="3" t="s">
        <v>237</v>
      </c>
      <c r="B104" s="8">
        <v>45537</v>
      </c>
      <c r="C104" s="4" t="s">
        <v>15</v>
      </c>
      <c r="D104" s="4" t="s">
        <v>16</v>
      </c>
      <c r="E104" s="4" t="s">
        <v>17</v>
      </c>
      <c r="F104" s="4" t="s">
        <v>18</v>
      </c>
      <c r="G104" s="4" t="s">
        <v>19</v>
      </c>
      <c r="H104" s="38">
        <v>1</v>
      </c>
      <c r="I104" s="4">
        <v>249.99</v>
      </c>
      <c r="J104" s="4" t="s">
        <v>57</v>
      </c>
      <c r="K104" s="4" t="s">
        <v>40</v>
      </c>
      <c r="L104" s="4" t="s">
        <v>27</v>
      </c>
      <c r="M104" s="8">
        <v>45332</v>
      </c>
      <c r="N104" s="34">
        <v>249.99</v>
      </c>
      <c r="O104" s="4">
        <f ca="1">DATEDIF(Table1[[#This Row],[Customer_Since]],TODAY(),"Y")</f>
        <v>2</v>
      </c>
      <c r="P104" s="12">
        <f ca="1">DATEDIF(Table1[[#This Row],[Date]],TODAY(),"M")</f>
        <v>18</v>
      </c>
      <c r="Q104" s="12" t="str">
        <f ca="1">IF(Table1[[#This Row],[Months_Since_Purchase]]&gt;12,"Inactive","Active")</f>
        <v>Inactive</v>
      </c>
      <c r="R104" s="14">
        <f>EOMONTH(Table1[[#This Row],[Date]],0)</f>
        <v>45565</v>
      </c>
      <c r="S104" s="13" t="str">
        <f>IF(Table1[[#This Row],[Total_Amount]]&gt;=700,"High",
 IF(Table1[[#This Row],[Total_Amount]]&gt;=300,"Medium","Low"))</f>
        <v>Low</v>
      </c>
      <c r="T104" s="13">
        <f>Table1[[#This Row],[Total_Amount]]*(1-$AC$8)*0.3</f>
        <v>54.537132044521407</v>
      </c>
      <c r="U104" s="13">
        <f t="shared" si="2"/>
        <v>8309.739999999998</v>
      </c>
      <c r="V104" s="13" t="str">
        <f>IF(Table1[[#This Row],[Customer_Total_Spend]]&gt;5000,"Yes","No")</f>
        <v>Yes</v>
      </c>
      <c r="W104" s="13">
        <f t="shared" si="3"/>
        <v>26</v>
      </c>
    </row>
    <row r="105" spans="1:23" ht="15" thickBot="1" x14ac:dyDescent="0.35">
      <c r="A105" s="3" t="s">
        <v>238</v>
      </c>
      <c r="B105" s="8">
        <v>45538</v>
      </c>
      <c r="C105" s="4" t="s">
        <v>226</v>
      </c>
      <c r="D105" s="4" t="s">
        <v>227</v>
      </c>
      <c r="E105" s="4" t="s">
        <v>80</v>
      </c>
      <c r="F105" s="4" t="s">
        <v>81</v>
      </c>
      <c r="G105" s="4" t="s">
        <v>19</v>
      </c>
      <c r="H105" s="38">
        <v>2</v>
      </c>
      <c r="I105" s="4">
        <v>699.99</v>
      </c>
      <c r="J105" s="4" t="s">
        <v>57</v>
      </c>
      <c r="K105" s="4" t="s">
        <v>21</v>
      </c>
      <c r="L105" s="4" t="s">
        <v>27</v>
      </c>
      <c r="M105" s="8">
        <v>44870</v>
      </c>
      <c r="N105" s="34">
        <v>1399.98</v>
      </c>
      <c r="O105" s="4">
        <f ca="1">DATEDIF(Table1[[#This Row],[Customer_Since]],TODAY(),"Y")</f>
        <v>3</v>
      </c>
      <c r="P105" s="12">
        <f ca="1">DATEDIF(Table1[[#This Row],[Date]],TODAY(),"M")</f>
        <v>18</v>
      </c>
      <c r="Q105" s="12" t="str">
        <f ca="1">IF(Table1[[#This Row],[Months_Since_Purchase]]&gt;12,"Inactive","Active")</f>
        <v>Inactive</v>
      </c>
      <c r="R105" s="14">
        <f>EOMONTH(Table1[[#This Row],[Date]],0)</f>
        <v>45565</v>
      </c>
      <c r="S105" s="13" t="str">
        <f>IF(Table1[[#This Row],[Total_Amount]]&gt;=700,"High",
 IF(Table1[[#This Row],[Total_Amount]]&gt;=300,"Medium","Low"))</f>
        <v>High</v>
      </c>
      <c r="T105" s="13">
        <f>Table1[[#This Row],[Total_Amount]]*(1-$AC$8)*0.3</f>
        <v>305.41579311048065</v>
      </c>
      <c r="U105" s="13">
        <f t="shared" si="2"/>
        <v>6989.7699999999986</v>
      </c>
      <c r="V105" s="13" t="str">
        <f>IF(Table1[[#This Row],[Customer_Total_Spend]]&gt;5000,"Yes","No")</f>
        <v>Yes</v>
      </c>
      <c r="W105" s="13">
        <f t="shared" si="3"/>
        <v>31</v>
      </c>
    </row>
    <row r="106" spans="1:23" ht="15" thickBot="1" x14ac:dyDescent="0.35">
      <c r="A106" s="3" t="s">
        <v>239</v>
      </c>
      <c r="B106" s="8">
        <v>45541</v>
      </c>
      <c r="C106" s="4" t="s">
        <v>138</v>
      </c>
      <c r="D106" s="4" t="s">
        <v>139</v>
      </c>
      <c r="E106" s="4" t="s">
        <v>31</v>
      </c>
      <c r="F106" s="4" t="s">
        <v>32</v>
      </c>
      <c r="G106" s="4" t="s">
        <v>33</v>
      </c>
      <c r="H106" s="38">
        <v>3</v>
      </c>
      <c r="I106" s="4">
        <v>59.99</v>
      </c>
      <c r="J106" s="4" t="s">
        <v>26</v>
      </c>
      <c r="K106" s="4" t="s">
        <v>21</v>
      </c>
      <c r="L106" s="4" t="s">
        <v>27</v>
      </c>
      <c r="M106" s="8">
        <v>44717</v>
      </c>
      <c r="N106" s="34">
        <v>179.97</v>
      </c>
      <c r="O106" s="4">
        <f ca="1">DATEDIF(Table1[[#This Row],[Customer_Since]],TODAY(),"Y")</f>
        <v>3</v>
      </c>
      <c r="P106" s="12">
        <f ca="1">DATEDIF(Table1[[#This Row],[Date]],TODAY(),"M")</f>
        <v>17</v>
      </c>
      <c r="Q106" s="12" t="str">
        <f ca="1">IF(Table1[[#This Row],[Months_Since_Purchase]]&gt;12,"Inactive","Active")</f>
        <v>Inactive</v>
      </c>
      <c r="R106" s="14">
        <f>EOMONTH(Table1[[#This Row],[Date]],0)</f>
        <v>45565</v>
      </c>
      <c r="S106" s="13" t="str">
        <f>IF(Table1[[#This Row],[Total_Amount]]&gt;=700,"High",
 IF(Table1[[#This Row],[Total_Amount]]&gt;=300,"Medium","Low"))</f>
        <v>Low</v>
      </c>
      <c r="T106" s="13">
        <f>Table1[[#This Row],[Total_Amount]]*(1-$AC$8)*0.3</f>
        <v>39.261761086653529</v>
      </c>
      <c r="U106" s="13">
        <f t="shared" si="2"/>
        <v>2649.83</v>
      </c>
      <c r="V106" s="13" t="str">
        <f>IF(Table1[[#This Row],[Customer_Total_Spend]]&gt;5000,"Yes","No")</f>
        <v>No</v>
      </c>
      <c r="W106" s="13">
        <f t="shared" si="3"/>
        <v>29</v>
      </c>
    </row>
    <row r="107" spans="1:23" ht="15" thickBot="1" x14ac:dyDescent="0.35">
      <c r="A107" s="3" t="s">
        <v>240</v>
      </c>
      <c r="B107" s="8">
        <v>45544</v>
      </c>
      <c r="C107" s="4" t="s">
        <v>132</v>
      </c>
      <c r="D107" s="4" t="s">
        <v>133</v>
      </c>
      <c r="E107" s="4" t="s">
        <v>31</v>
      </c>
      <c r="F107" s="4" t="s">
        <v>32</v>
      </c>
      <c r="G107" s="4" t="s">
        <v>33</v>
      </c>
      <c r="H107" s="38">
        <v>3</v>
      </c>
      <c r="I107" s="4">
        <v>59.99</v>
      </c>
      <c r="J107" s="4" t="s">
        <v>34</v>
      </c>
      <c r="K107" s="4" t="s">
        <v>63</v>
      </c>
      <c r="L107" s="4" t="s">
        <v>36</v>
      </c>
      <c r="M107" s="8">
        <v>44748</v>
      </c>
      <c r="N107" s="34">
        <v>179.97</v>
      </c>
      <c r="O107" s="4">
        <f ca="1">DATEDIF(Table1[[#This Row],[Customer_Since]],TODAY(),"Y")</f>
        <v>3</v>
      </c>
      <c r="P107" s="12">
        <f ca="1">DATEDIF(Table1[[#This Row],[Date]],TODAY(),"M")</f>
        <v>17</v>
      </c>
      <c r="Q107" s="12" t="str">
        <f ca="1">IF(Table1[[#This Row],[Months_Since_Purchase]]&gt;12,"Inactive","Active")</f>
        <v>Inactive</v>
      </c>
      <c r="R107" s="14">
        <f>EOMONTH(Table1[[#This Row],[Date]],0)</f>
        <v>45565</v>
      </c>
      <c r="S107" s="13" t="str">
        <f>IF(Table1[[#This Row],[Total_Amount]]&gt;=700,"High",
 IF(Table1[[#This Row],[Total_Amount]]&gt;=300,"Medium","Low"))</f>
        <v>Low</v>
      </c>
      <c r="T107" s="13">
        <f>Table1[[#This Row],[Total_Amount]]*(1-$AC$8)*0.3</f>
        <v>39.261761086653529</v>
      </c>
      <c r="U107" s="13">
        <f t="shared" si="2"/>
        <v>1229.8800000000001</v>
      </c>
      <c r="V107" s="13" t="str">
        <f>IF(Table1[[#This Row],[Customer_Total_Spend]]&gt;5000,"Yes","No")</f>
        <v>No</v>
      </c>
      <c r="W107" s="13">
        <f t="shared" si="3"/>
        <v>29</v>
      </c>
    </row>
    <row r="108" spans="1:23" ht="15" thickBot="1" x14ac:dyDescent="0.35">
      <c r="A108" s="3" t="s">
        <v>241</v>
      </c>
      <c r="B108" s="8">
        <v>45544</v>
      </c>
      <c r="C108" s="4" t="s">
        <v>141</v>
      </c>
      <c r="D108" s="4" t="s">
        <v>142</v>
      </c>
      <c r="E108" s="4" t="s">
        <v>114</v>
      </c>
      <c r="F108" s="4" t="s">
        <v>115</v>
      </c>
      <c r="G108" s="4" t="s">
        <v>33</v>
      </c>
      <c r="H108" s="38">
        <v>4</v>
      </c>
      <c r="I108" s="4">
        <v>79.989999999999995</v>
      </c>
      <c r="J108" s="4" t="s">
        <v>20</v>
      </c>
      <c r="K108" s="4" t="s">
        <v>40</v>
      </c>
      <c r="L108" s="4" t="s">
        <v>22</v>
      </c>
      <c r="M108" s="8">
        <v>44530</v>
      </c>
      <c r="N108" s="34">
        <v>319.95999999999998</v>
      </c>
      <c r="O108" s="4">
        <f ca="1">DATEDIF(Table1[[#This Row],[Customer_Since]],TODAY(),"Y")</f>
        <v>4</v>
      </c>
      <c r="P108" s="12">
        <f ca="1">DATEDIF(Table1[[#This Row],[Date]],TODAY(),"M")</f>
        <v>17</v>
      </c>
      <c r="Q108" s="12" t="str">
        <f ca="1">IF(Table1[[#This Row],[Months_Since_Purchase]]&gt;12,"Inactive","Active")</f>
        <v>Inactive</v>
      </c>
      <c r="R108" s="14">
        <f>EOMONTH(Table1[[#This Row],[Date]],0)</f>
        <v>45565</v>
      </c>
      <c r="S108" s="13" t="str">
        <f>IF(Table1[[#This Row],[Total_Amount]]&gt;=700,"High",
 IF(Table1[[#This Row],[Total_Amount]]&gt;=300,"Medium","Low"))</f>
        <v>Medium</v>
      </c>
      <c r="T108" s="13">
        <f>Table1[[#This Row],[Total_Amount]]*(1-$AC$8)*0.3</f>
        <v>69.801595139665849</v>
      </c>
      <c r="U108" s="13">
        <f t="shared" si="2"/>
        <v>4739.8500000000004</v>
      </c>
      <c r="V108" s="13" t="str">
        <f>IF(Table1[[#This Row],[Customer_Total_Spend]]&gt;5000,"Yes","No")</f>
        <v>No</v>
      </c>
      <c r="W108" s="13">
        <f t="shared" si="3"/>
        <v>14</v>
      </c>
    </row>
    <row r="109" spans="1:23" ht="15" thickBot="1" x14ac:dyDescent="0.35">
      <c r="A109" s="3" t="s">
        <v>242</v>
      </c>
      <c r="B109" s="8">
        <v>45545</v>
      </c>
      <c r="C109" s="4" t="s">
        <v>55</v>
      </c>
      <c r="D109" s="4" t="s">
        <v>56</v>
      </c>
      <c r="E109" s="4" t="s">
        <v>114</v>
      </c>
      <c r="F109" s="4" t="s">
        <v>115</v>
      </c>
      <c r="G109" s="4" t="s">
        <v>33</v>
      </c>
      <c r="H109" s="38">
        <v>1</v>
      </c>
      <c r="I109" s="4">
        <v>79.989999999999995</v>
      </c>
      <c r="J109" s="4" t="s">
        <v>20</v>
      </c>
      <c r="K109" s="4" t="s">
        <v>50</v>
      </c>
      <c r="L109" s="4" t="s">
        <v>22</v>
      </c>
      <c r="M109" s="8">
        <v>44693</v>
      </c>
      <c r="N109" s="34">
        <v>79.989999999999995</v>
      </c>
      <c r="O109" s="4">
        <f ca="1">DATEDIF(Table1[[#This Row],[Customer_Since]],TODAY(),"Y")</f>
        <v>3</v>
      </c>
      <c r="P109" s="12">
        <f ca="1">DATEDIF(Table1[[#This Row],[Date]],TODAY(),"M")</f>
        <v>17</v>
      </c>
      <c r="Q109" s="12" t="str">
        <f ca="1">IF(Table1[[#This Row],[Months_Since_Purchase]]&gt;12,"Inactive","Active")</f>
        <v>Inactive</v>
      </c>
      <c r="R109" s="14">
        <f>EOMONTH(Table1[[#This Row],[Date]],0)</f>
        <v>45565</v>
      </c>
      <c r="S109" s="13" t="str">
        <f>IF(Table1[[#This Row],[Total_Amount]]&gt;=700,"High",
 IF(Table1[[#This Row],[Total_Amount]]&gt;=300,"Medium","Low"))</f>
        <v>Low</v>
      </c>
      <c r="T109" s="13">
        <f>Table1[[#This Row],[Total_Amount]]*(1-$AC$8)*0.3</f>
        <v>17.450398784916462</v>
      </c>
      <c r="U109" s="13">
        <f t="shared" si="2"/>
        <v>5089.7300000000005</v>
      </c>
      <c r="V109" s="13" t="str">
        <f>IF(Table1[[#This Row],[Customer_Total_Spend]]&gt;5000,"Yes","No")</f>
        <v>Yes</v>
      </c>
      <c r="W109" s="13">
        <f t="shared" si="3"/>
        <v>14</v>
      </c>
    </row>
    <row r="110" spans="1:23" ht="15" thickBot="1" x14ac:dyDescent="0.35">
      <c r="A110" s="3" t="s">
        <v>243</v>
      </c>
      <c r="B110" s="8">
        <v>45547</v>
      </c>
      <c r="C110" s="4" t="s">
        <v>48</v>
      </c>
      <c r="D110" s="4" t="s">
        <v>49</v>
      </c>
      <c r="E110" s="4" t="s">
        <v>105</v>
      </c>
      <c r="F110" s="4" t="s">
        <v>106</v>
      </c>
      <c r="G110" s="4" t="s">
        <v>46</v>
      </c>
      <c r="H110" s="38">
        <v>3</v>
      </c>
      <c r="I110" s="4">
        <v>299.99</v>
      </c>
      <c r="J110" s="4" t="s">
        <v>26</v>
      </c>
      <c r="K110" s="4" t="s">
        <v>21</v>
      </c>
      <c r="L110" s="4" t="s">
        <v>27</v>
      </c>
      <c r="M110" s="8">
        <v>44494</v>
      </c>
      <c r="N110" s="34">
        <v>899.97</v>
      </c>
      <c r="O110" s="4">
        <f ca="1">DATEDIF(Table1[[#This Row],[Customer_Since]],TODAY(),"Y")</f>
        <v>4</v>
      </c>
      <c r="P110" s="12">
        <f ca="1">DATEDIF(Table1[[#This Row],[Date]],TODAY(),"M")</f>
        <v>17</v>
      </c>
      <c r="Q110" s="12" t="str">
        <f ca="1">IF(Table1[[#This Row],[Months_Since_Purchase]]&gt;12,"Inactive","Active")</f>
        <v>Inactive</v>
      </c>
      <c r="R110" s="14">
        <f>EOMONTH(Table1[[#This Row],[Date]],0)</f>
        <v>45565</v>
      </c>
      <c r="S110" s="13" t="str">
        <f>IF(Table1[[#This Row],[Total_Amount]]&gt;=700,"High",
 IF(Table1[[#This Row],[Total_Amount]]&gt;=300,"Medium","Low"))</f>
        <v>High</v>
      </c>
      <c r="T110" s="13">
        <f>Table1[[#This Row],[Total_Amount]]*(1-$AC$8)*0.3</f>
        <v>196.33498430380385</v>
      </c>
      <c r="U110" s="13">
        <f t="shared" si="2"/>
        <v>8269.7900000000009</v>
      </c>
      <c r="V110" s="13" t="str">
        <f>IF(Table1[[#This Row],[Customer_Total_Spend]]&gt;5000,"Yes","No")</f>
        <v>Yes</v>
      </c>
      <c r="W110" s="13">
        <f t="shared" si="3"/>
        <v>26</v>
      </c>
    </row>
    <row r="111" spans="1:23" ht="15" thickBot="1" x14ac:dyDescent="0.35">
      <c r="A111" s="3" t="s">
        <v>244</v>
      </c>
      <c r="B111" s="8">
        <v>45548</v>
      </c>
      <c r="C111" s="4" t="s">
        <v>38</v>
      </c>
      <c r="D111" s="4" t="s">
        <v>39</v>
      </c>
      <c r="E111" s="4" t="s">
        <v>117</v>
      </c>
      <c r="F111" s="4" t="s">
        <v>118</v>
      </c>
      <c r="G111" s="4" t="s">
        <v>19</v>
      </c>
      <c r="H111" s="38">
        <v>2</v>
      </c>
      <c r="I111" s="4">
        <v>89.99</v>
      </c>
      <c r="J111" s="4" t="s">
        <v>26</v>
      </c>
      <c r="K111" s="4" t="s">
        <v>35</v>
      </c>
      <c r="L111" s="4" t="s">
        <v>27</v>
      </c>
      <c r="M111" s="8">
        <v>44641</v>
      </c>
      <c r="N111" s="34">
        <v>179.98</v>
      </c>
      <c r="O111" s="4">
        <f ca="1">DATEDIF(Table1[[#This Row],[Customer_Since]],TODAY(),"Y")</f>
        <v>3</v>
      </c>
      <c r="P111" s="12">
        <f ca="1">DATEDIF(Table1[[#This Row],[Date]],TODAY(),"M")</f>
        <v>17</v>
      </c>
      <c r="Q111" s="12" t="str">
        <f ca="1">IF(Table1[[#This Row],[Months_Since_Purchase]]&gt;12,"Inactive","Active")</f>
        <v>Inactive</v>
      </c>
      <c r="R111" s="14">
        <f>EOMONTH(Table1[[#This Row],[Date]],0)</f>
        <v>45565</v>
      </c>
      <c r="S111" s="13" t="str">
        <f>IF(Table1[[#This Row],[Total_Amount]]&gt;=700,"High",
 IF(Table1[[#This Row],[Total_Amount]]&gt;=300,"Medium","Low"))</f>
        <v>Low</v>
      </c>
      <c r="T111" s="13">
        <f>Table1[[#This Row],[Total_Amount]]*(1-$AC$8)*0.3</f>
        <v>39.263942659198214</v>
      </c>
      <c r="U111" s="13">
        <f t="shared" si="2"/>
        <v>4309.8099999999995</v>
      </c>
      <c r="V111" s="13" t="str">
        <f>IF(Table1[[#This Row],[Customer_Total_Spend]]&gt;5000,"Yes","No")</f>
        <v>No</v>
      </c>
      <c r="W111" s="13">
        <f t="shared" si="3"/>
        <v>34</v>
      </c>
    </row>
    <row r="112" spans="1:23" ht="15" thickBot="1" x14ac:dyDescent="0.35">
      <c r="A112" s="3" t="s">
        <v>245</v>
      </c>
      <c r="B112" s="8">
        <v>45550</v>
      </c>
      <c r="C112" s="4" t="s">
        <v>246</v>
      </c>
      <c r="D112" s="4" t="s">
        <v>247</v>
      </c>
      <c r="E112" s="4" t="s">
        <v>52</v>
      </c>
      <c r="F112" s="4" t="s">
        <v>53</v>
      </c>
      <c r="G112" s="4" t="s">
        <v>19</v>
      </c>
      <c r="H112" s="38">
        <v>4</v>
      </c>
      <c r="I112" s="4">
        <v>149.99</v>
      </c>
      <c r="J112" s="4" t="s">
        <v>20</v>
      </c>
      <c r="K112" s="4" t="s">
        <v>40</v>
      </c>
      <c r="L112" s="4" t="s">
        <v>22</v>
      </c>
      <c r="M112" s="8">
        <v>44909</v>
      </c>
      <c r="N112" s="34">
        <v>599.96</v>
      </c>
      <c r="O112" s="4">
        <f ca="1">DATEDIF(Table1[[#This Row],[Customer_Since]],TODAY(),"Y")</f>
        <v>3</v>
      </c>
      <c r="P112" s="12">
        <f ca="1">DATEDIF(Table1[[#This Row],[Date]],TODAY(),"M")</f>
        <v>17</v>
      </c>
      <c r="Q112" s="12" t="str">
        <f ca="1">IF(Table1[[#This Row],[Months_Since_Purchase]]&gt;12,"Inactive","Active")</f>
        <v>Inactive</v>
      </c>
      <c r="R112" s="14">
        <f>EOMONTH(Table1[[#This Row],[Date]],0)</f>
        <v>45565</v>
      </c>
      <c r="S112" s="13" t="str">
        <f>IF(Table1[[#This Row],[Total_Amount]]&gt;=700,"High",
 IF(Table1[[#This Row],[Total_Amount]]&gt;=300,"Medium","Low"))</f>
        <v>Medium</v>
      </c>
      <c r="T112" s="13">
        <f>Table1[[#This Row],[Total_Amount]]*(1-$AC$8)*0.3</f>
        <v>130.88562639077986</v>
      </c>
      <c r="U112" s="13">
        <f t="shared" si="2"/>
        <v>1749.92</v>
      </c>
      <c r="V112" s="13" t="str">
        <f>IF(Table1[[#This Row],[Customer_Total_Spend]]&gt;5000,"Yes","No")</f>
        <v>No</v>
      </c>
      <c r="W112" s="13">
        <f t="shared" si="3"/>
        <v>16</v>
      </c>
    </row>
    <row r="113" spans="1:23" ht="15" thickBot="1" x14ac:dyDescent="0.35">
      <c r="A113" s="3" t="s">
        <v>248</v>
      </c>
      <c r="B113" s="8">
        <v>45551</v>
      </c>
      <c r="C113" s="4" t="s">
        <v>65</v>
      </c>
      <c r="D113" s="4" t="s">
        <v>66</v>
      </c>
      <c r="E113" s="4" t="s">
        <v>17</v>
      </c>
      <c r="F113" s="4" t="s">
        <v>18</v>
      </c>
      <c r="G113" s="4" t="s">
        <v>19</v>
      </c>
      <c r="H113" s="38">
        <v>2</v>
      </c>
      <c r="I113" s="4">
        <v>249.99</v>
      </c>
      <c r="J113" s="4" t="s">
        <v>34</v>
      </c>
      <c r="K113" s="4" t="s">
        <v>35</v>
      </c>
      <c r="L113" s="4" t="s">
        <v>22</v>
      </c>
      <c r="M113" s="8">
        <v>44993</v>
      </c>
      <c r="N113" s="34">
        <v>499.98</v>
      </c>
      <c r="O113" s="4">
        <f ca="1">DATEDIF(Table1[[#This Row],[Customer_Since]],TODAY(),"Y")</f>
        <v>2</v>
      </c>
      <c r="P113" s="12">
        <f ca="1">DATEDIF(Table1[[#This Row],[Date]],TODAY(),"M")</f>
        <v>17</v>
      </c>
      <c r="Q113" s="12" t="str">
        <f ca="1">IF(Table1[[#This Row],[Months_Since_Purchase]]&gt;12,"Inactive","Active")</f>
        <v>Inactive</v>
      </c>
      <c r="R113" s="14">
        <f>EOMONTH(Table1[[#This Row],[Date]],0)</f>
        <v>45565</v>
      </c>
      <c r="S113" s="13" t="str">
        <f>IF(Table1[[#This Row],[Total_Amount]]&gt;=700,"High",
 IF(Table1[[#This Row],[Total_Amount]]&gt;=300,"Medium","Low"))</f>
        <v>Medium</v>
      </c>
      <c r="T113" s="13">
        <f>Table1[[#This Row],[Total_Amount]]*(1-$AC$8)*0.3</f>
        <v>109.07426408904281</v>
      </c>
      <c r="U113" s="13">
        <f t="shared" si="2"/>
        <v>8009.7699999999995</v>
      </c>
      <c r="V113" s="13" t="str">
        <f>IF(Table1[[#This Row],[Customer_Total_Spend]]&gt;5000,"Yes","No")</f>
        <v>Yes</v>
      </c>
      <c r="W113" s="13">
        <f t="shared" si="3"/>
        <v>26</v>
      </c>
    </row>
    <row r="114" spans="1:23" ht="15" thickBot="1" x14ac:dyDescent="0.35">
      <c r="A114" s="3" t="s">
        <v>249</v>
      </c>
      <c r="B114" s="8">
        <v>45551</v>
      </c>
      <c r="C114" s="4" t="s">
        <v>154</v>
      </c>
      <c r="D114" s="4" t="s">
        <v>155</v>
      </c>
      <c r="E114" s="4" t="s">
        <v>126</v>
      </c>
      <c r="F114" s="4" t="s">
        <v>127</v>
      </c>
      <c r="G114" s="4" t="s">
        <v>46</v>
      </c>
      <c r="H114" s="38">
        <v>4</v>
      </c>
      <c r="I114" s="4">
        <v>199.99</v>
      </c>
      <c r="J114" s="4" t="s">
        <v>57</v>
      </c>
      <c r="K114" s="4" t="s">
        <v>63</v>
      </c>
      <c r="L114" s="4" t="s">
        <v>22</v>
      </c>
      <c r="M114" s="8">
        <v>44458</v>
      </c>
      <c r="N114" s="34">
        <v>799.96</v>
      </c>
      <c r="O114" s="4">
        <f ca="1">DATEDIF(Table1[[#This Row],[Customer_Since]],TODAY(),"Y")</f>
        <v>4</v>
      </c>
      <c r="P114" s="12">
        <f ca="1">DATEDIF(Table1[[#This Row],[Date]],TODAY(),"M")</f>
        <v>17</v>
      </c>
      <c r="Q114" s="12" t="str">
        <f ca="1">IF(Table1[[#This Row],[Months_Since_Purchase]]&gt;12,"Inactive","Active")</f>
        <v>Inactive</v>
      </c>
      <c r="R114" s="14">
        <f>EOMONTH(Table1[[#This Row],[Date]],0)</f>
        <v>45565</v>
      </c>
      <c r="S114" s="13" t="str">
        <f>IF(Table1[[#This Row],[Total_Amount]]&gt;=700,"High",
 IF(Table1[[#This Row],[Total_Amount]]&gt;=300,"Medium","Low"))</f>
        <v>High</v>
      </c>
      <c r="T114" s="13">
        <f>Table1[[#This Row],[Total_Amount]]*(1-$AC$8)*0.3</f>
        <v>174.51707728443276</v>
      </c>
      <c r="U114" s="13">
        <f t="shared" si="2"/>
        <v>5499.8099999999995</v>
      </c>
      <c r="V114" s="13" t="str">
        <f>IF(Table1[[#This Row],[Customer_Total_Spend]]&gt;5000,"Yes","No")</f>
        <v>Yes</v>
      </c>
      <c r="W114" s="13">
        <f t="shared" si="3"/>
        <v>15</v>
      </c>
    </row>
    <row r="115" spans="1:23" ht="15" thickBot="1" x14ac:dyDescent="0.35">
      <c r="A115" s="3" t="s">
        <v>250</v>
      </c>
      <c r="B115" s="8">
        <v>45554</v>
      </c>
      <c r="C115" s="4" t="s">
        <v>147</v>
      </c>
      <c r="D115" s="4" t="s">
        <v>148</v>
      </c>
      <c r="E115" s="4" t="s">
        <v>117</v>
      </c>
      <c r="F115" s="4" t="s">
        <v>118</v>
      </c>
      <c r="G115" s="4" t="s">
        <v>19</v>
      </c>
      <c r="H115" s="38">
        <v>5</v>
      </c>
      <c r="I115" s="4">
        <v>89.99</v>
      </c>
      <c r="J115" s="4" t="s">
        <v>26</v>
      </c>
      <c r="K115" s="4" t="s">
        <v>63</v>
      </c>
      <c r="L115" s="4" t="s">
        <v>27</v>
      </c>
      <c r="M115" s="8">
        <v>44446</v>
      </c>
      <c r="N115" s="34">
        <v>449.95</v>
      </c>
      <c r="O115" s="4">
        <f ca="1">DATEDIF(Table1[[#This Row],[Customer_Since]],TODAY(),"Y")</f>
        <v>4</v>
      </c>
      <c r="P115" s="12">
        <f ca="1">DATEDIF(Table1[[#This Row],[Date]],TODAY(),"M")</f>
        <v>17</v>
      </c>
      <c r="Q115" s="12" t="str">
        <f ca="1">IF(Table1[[#This Row],[Months_Since_Purchase]]&gt;12,"Inactive","Active")</f>
        <v>Inactive</v>
      </c>
      <c r="R115" s="14">
        <f>EOMONTH(Table1[[#This Row],[Date]],0)</f>
        <v>45565</v>
      </c>
      <c r="S115" s="13" t="str">
        <f>IF(Table1[[#This Row],[Total_Amount]]&gt;=700,"High",
 IF(Table1[[#This Row],[Total_Amount]]&gt;=300,"Medium","Low"))</f>
        <v>Medium</v>
      </c>
      <c r="T115" s="13">
        <f>Table1[[#This Row],[Total_Amount]]*(1-$AC$8)*0.3</f>
        <v>98.159856647995539</v>
      </c>
      <c r="U115" s="13">
        <f t="shared" si="2"/>
        <v>7309.7999999999993</v>
      </c>
      <c r="V115" s="13" t="str">
        <f>IF(Table1[[#This Row],[Customer_Total_Spend]]&gt;5000,"Yes","No")</f>
        <v>Yes</v>
      </c>
      <c r="W115" s="13">
        <f t="shared" si="3"/>
        <v>34</v>
      </c>
    </row>
    <row r="116" spans="1:23" ht="15" thickBot="1" x14ac:dyDescent="0.35">
      <c r="A116" s="3" t="s">
        <v>251</v>
      </c>
      <c r="B116" s="8">
        <v>45554</v>
      </c>
      <c r="C116" s="4" t="s">
        <v>252</v>
      </c>
      <c r="D116" s="4" t="s">
        <v>253</v>
      </c>
      <c r="E116" s="4" t="s">
        <v>52</v>
      </c>
      <c r="F116" s="4" t="s">
        <v>53</v>
      </c>
      <c r="G116" s="4" t="s">
        <v>19</v>
      </c>
      <c r="H116" s="38">
        <v>1</v>
      </c>
      <c r="I116" s="4">
        <v>149.99</v>
      </c>
      <c r="J116" s="4" t="s">
        <v>34</v>
      </c>
      <c r="K116" s="4" t="s">
        <v>63</v>
      </c>
      <c r="L116" s="4" t="s">
        <v>36</v>
      </c>
      <c r="M116" s="8">
        <v>44482</v>
      </c>
      <c r="N116" s="34">
        <v>149.99</v>
      </c>
      <c r="O116" s="4">
        <f ca="1">DATEDIF(Table1[[#This Row],[Customer_Since]],TODAY(),"Y")</f>
        <v>4</v>
      </c>
      <c r="P116" s="12">
        <f ca="1">DATEDIF(Table1[[#This Row],[Date]],TODAY(),"M")</f>
        <v>17</v>
      </c>
      <c r="Q116" s="12" t="str">
        <f ca="1">IF(Table1[[#This Row],[Months_Since_Purchase]]&gt;12,"Inactive","Active")</f>
        <v>Inactive</v>
      </c>
      <c r="R116" s="14">
        <f>EOMONTH(Table1[[#This Row],[Date]],0)</f>
        <v>45565</v>
      </c>
      <c r="S116" s="13" t="str">
        <f>IF(Table1[[#This Row],[Total_Amount]]&gt;=700,"High",
 IF(Table1[[#This Row],[Total_Amount]]&gt;=300,"Medium","Low"))</f>
        <v>Low</v>
      </c>
      <c r="T116" s="13">
        <f>Table1[[#This Row],[Total_Amount]]*(1-$AC$8)*0.3</f>
        <v>32.721406597694966</v>
      </c>
      <c r="U116" s="13">
        <f t="shared" si="2"/>
        <v>4749.91</v>
      </c>
      <c r="V116" s="13" t="str">
        <f>IF(Table1[[#This Row],[Customer_Total_Spend]]&gt;5000,"Yes","No")</f>
        <v>No</v>
      </c>
      <c r="W116" s="13">
        <f t="shared" si="3"/>
        <v>16</v>
      </c>
    </row>
    <row r="117" spans="1:23" ht="15" thickBot="1" x14ac:dyDescent="0.35">
      <c r="A117" s="3" t="s">
        <v>254</v>
      </c>
      <c r="B117" s="8">
        <v>45554</v>
      </c>
      <c r="C117" s="4" t="s">
        <v>72</v>
      </c>
      <c r="D117" s="4" t="s">
        <v>73</v>
      </c>
      <c r="E117" s="4" t="s">
        <v>80</v>
      </c>
      <c r="F117" s="4" t="s">
        <v>81</v>
      </c>
      <c r="G117" s="4" t="s">
        <v>19</v>
      </c>
      <c r="H117" s="38">
        <v>4</v>
      </c>
      <c r="I117" s="4">
        <v>699.99</v>
      </c>
      <c r="J117" s="4" t="s">
        <v>34</v>
      </c>
      <c r="K117" s="4" t="s">
        <v>35</v>
      </c>
      <c r="L117" s="4" t="s">
        <v>22</v>
      </c>
      <c r="M117" s="8">
        <v>44618</v>
      </c>
      <c r="N117" s="34">
        <v>2799.96</v>
      </c>
      <c r="O117" s="4">
        <f ca="1">DATEDIF(Table1[[#This Row],[Customer_Since]],TODAY(),"Y")</f>
        <v>4</v>
      </c>
      <c r="P117" s="12">
        <f ca="1">DATEDIF(Table1[[#This Row],[Date]],TODAY(),"M")</f>
        <v>17</v>
      </c>
      <c r="Q117" s="12" t="str">
        <f ca="1">IF(Table1[[#This Row],[Months_Since_Purchase]]&gt;12,"Inactive","Active")</f>
        <v>Inactive</v>
      </c>
      <c r="R117" s="14">
        <f>EOMONTH(Table1[[#This Row],[Date]],0)</f>
        <v>45565</v>
      </c>
      <c r="S117" s="13" t="str">
        <f>IF(Table1[[#This Row],[Total_Amount]]&gt;=700,"High",
 IF(Table1[[#This Row],[Total_Amount]]&gt;=300,"Medium","Low"))</f>
        <v>High</v>
      </c>
      <c r="T117" s="13">
        <f>Table1[[#This Row],[Total_Amount]]*(1-$AC$8)*0.3</f>
        <v>610.8315862209613</v>
      </c>
      <c r="U117" s="13">
        <f t="shared" si="2"/>
        <v>5949.85</v>
      </c>
      <c r="V117" s="13" t="str">
        <f>IF(Table1[[#This Row],[Customer_Total_Spend]]&gt;5000,"Yes","No")</f>
        <v>Yes</v>
      </c>
      <c r="W117" s="13">
        <f t="shared" si="3"/>
        <v>31</v>
      </c>
    </row>
    <row r="118" spans="1:23" ht="15" thickBot="1" x14ac:dyDescent="0.35">
      <c r="A118" s="3" t="s">
        <v>255</v>
      </c>
      <c r="B118" s="8">
        <v>45559</v>
      </c>
      <c r="C118" s="4" t="s">
        <v>234</v>
      </c>
      <c r="D118" s="4" t="s">
        <v>235</v>
      </c>
      <c r="E118" s="4" t="s">
        <v>61</v>
      </c>
      <c r="F118" s="4" t="s">
        <v>62</v>
      </c>
      <c r="G118" s="4" t="s">
        <v>19</v>
      </c>
      <c r="H118" s="38">
        <v>3</v>
      </c>
      <c r="I118" s="4">
        <v>899.99</v>
      </c>
      <c r="J118" s="4" t="s">
        <v>26</v>
      </c>
      <c r="K118" s="4" t="s">
        <v>40</v>
      </c>
      <c r="L118" s="4" t="s">
        <v>36</v>
      </c>
      <c r="M118" s="8">
        <v>45157</v>
      </c>
      <c r="N118" s="34">
        <v>2699.97</v>
      </c>
      <c r="O118" s="4">
        <f ca="1">DATEDIF(Table1[[#This Row],[Customer_Since]],TODAY(),"Y")</f>
        <v>2</v>
      </c>
      <c r="P118" s="12">
        <f ca="1">DATEDIF(Table1[[#This Row],[Date]],TODAY(),"M")</f>
        <v>17</v>
      </c>
      <c r="Q118" s="12" t="str">
        <f ca="1">IF(Table1[[#This Row],[Months_Since_Purchase]]&gt;12,"Inactive","Active")</f>
        <v>Inactive</v>
      </c>
      <c r="R118" s="14">
        <f>EOMONTH(Table1[[#This Row],[Date]],0)</f>
        <v>45565</v>
      </c>
      <c r="S118" s="13" t="str">
        <f>IF(Table1[[#This Row],[Total_Amount]]&gt;=700,"High",
 IF(Table1[[#This Row],[Total_Amount]]&gt;=300,"Medium","Low"))</f>
        <v>High</v>
      </c>
      <c r="T118" s="13">
        <f>Table1[[#This Row],[Total_Amount]]*(1-$AC$8)*0.3</f>
        <v>589.01804234667964</v>
      </c>
      <c r="U118" s="13">
        <f t="shared" si="2"/>
        <v>6349.83</v>
      </c>
      <c r="V118" s="13" t="str">
        <f>IF(Table1[[#This Row],[Customer_Total_Spend]]&gt;5000,"Yes","No")</f>
        <v>Yes</v>
      </c>
      <c r="W118" s="13">
        <f t="shared" si="3"/>
        <v>24</v>
      </c>
    </row>
    <row r="119" spans="1:23" ht="15" thickBot="1" x14ac:dyDescent="0.35">
      <c r="A119" s="3" t="s">
        <v>256</v>
      </c>
      <c r="B119" s="8">
        <v>45560</v>
      </c>
      <c r="C119" s="4" t="s">
        <v>112</v>
      </c>
      <c r="D119" s="4" t="s">
        <v>113</v>
      </c>
      <c r="E119" s="4" t="s">
        <v>44</v>
      </c>
      <c r="F119" s="4" t="s">
        <v>45</v>
      </c>
      <c r="G119" s="4" t="s">
        <v>46</v>
      </c>
      <c r="H119" s="38">
        <v>3</v>
      </c>
      <c r="I119" s="4">
        <v>149.99</v>
      </c>
      <c r="J119" s="4" t="s">
        <v>34</v>
      </c>
      <c r="K119" s="4" t="s">
        <v>63</v>
      </c>
      <c r="L119" s="4" t="s">
        <v>22</v>
      </c>
      <c r="M119" s="8">
        <v>44886</v>
      </c>
      <c r="N119" s="34">
        <v>449.97</v>
      </c>
      <c r="O119" s="4">
        <f ca="1">DATEDIF(Table1[[#This Row],[Customer_Since]],TODAY(),"Y")</f>
        <v>3</v>
      </c>
      <c r="P119" s="12">
        <f ca="1">DATEDIF(Table1[[#This Row],[Date]],TODAY(),"M")</f>
        <v>17</v>
      </c>
      <c r="Q119" s="12" t="str">
        <f ca="1">IF(Table1[[#This Row],[Months_Since_Purchase]]&gt;12,"Inactive","Active")</f>
        <v>Inactive</v>
      </c>
      <c r="R119" s="14">
        <f>EOMONTH(Table1[[#This Row],[Date]],0)</f>
        <v>45565</v>
      </c>
      <c r="S119" s="13" t="str">
        <f>IF(Table1[[#This Row],[Total_Amount]]&gt;=700,"High",
 IF(Table1[[#This Row],[Total_Amount]]&gt;=300,"Medium","Low"))</f>
        <v>Medium</v>
      </c>
      <c r="T119" s="13">
        <f>Table1[[#This Row],[Total_Amount]]*(1-$AC$8)*0.3</f>
        <v>98.164219793084911</v>
      </c>
      <c r="U119" s="13">
        <f t="shared" si="2"/>
        <v>1289.9000000000001</v>
      </c>
      <c r="V119" s="13" t="str">
        <f>IF(Table1[[#This Row],[Customer_Total_Spend]]&gt;5000,"Yes","No")</f>
        <v>No</v>
      </c>
      <c r="W119" s="13">
        <f t="shared" si="3"/>
        <v>35</v>
      </c>
    </row>
    <row r="120" spans="1:23" ht="15" thickBot="1" x14ac:dyDescent="0.35">
      <c r="A120" s="3" t="s">
        <v>257</v>
      </c>
      <c r="B120" s="8">
        <v>45563</v>
      </c>
      <c r="C120" s="4" t="s">
        <v>99</v>
      </c>
      <c r="D120" s="4" t="s">
        <v>100</v>
      </c>
      <c r="E120" s="4" t="s">
        <v>105</v>
      </c>
      <c r="F120" s="4" t="s">
        <v>106</v>
      </c>
      <c r="G120" s="4" t="s">
        <v>46</v>
      </c>
      <c r="H120" s="38">
        <v>2</v>
      </c>
      <c r="I120" s="4">
        <v>299.99</v>
      </c>
      <c r="J120" s="4" t="s">
        <v>57</v>
      </c>
      <c r="K120" s="4" t="s">
        <v>21</v>
      </c>
      <c r="L120" s="4" t="s">
        <v>22</v>
      </c>
      <c r="M120" s="8">
        <v>44569</v>
      </c>
      <c r="N120" s="34">
        <v>599.98</v>
      </c>
      <c r="O120" s="4">
        <f ca="1">DATEDIF(Table1[[#This Row],[Customer_Since]],TODAY(),"Y")</f>
        <v>4</v>
      </c>
      <c r="P120" s="12">
        <f ca="1">DATEDIF(Table1[[#This Row],[Date]],TODAY(),"M")</f>
        <v>17</v>
      </c>
      <c r="Q120" s="12" t="str">
        <f ca="1">IF(Table1[[#This Row],[Months_Since_Purchase]]&gt;12,"Inactive","Active")</f>
        <v>Inactive</v>
      </c>
      <c r="R120" s="14">
        <f>EOMONTH(Table1[[#This Row],[Date]],0)</f>
        <v>45565</v>
      </c>
      <c r="S120" s="13" t="str">
        <f>IF(Table1[[#This Row],[Total_Amount]]&gt;=700,"High",
 IF(Table1[[#This Row],[Total_Amount]]&gt;=300,"Medium","Low"))</f>
        <v>Medium</v>
      </c>
      <c r="T120" s="13">
        <f>Table1[[#This Row],[Total_Amount]]*(1-$AC$8)*0.3</f>
        <v>130.88998953586923</v>
      </c>
      <c r="U120" s="13">
        <f t="shared" si="2"/>
        <v>9799.73</v>
      </c>
      <c r="V120" s="13" t="str">
        <f>IF(Table1[[#This Row],[Customer_Total_Spend]]&gt;5000,"Yes","No")</f>
        <v>Yes</v>
      </c>
      <c r="W120" s="13">
        <f t="shared" si="3"/>
        <v>26</v>
      </c>
    </row>
    <row r="121" spans="1:23" ht="15" thickBot="1" x14ac:dyDescent="0.35">
      <c r="A121" s="3" t="s">
        <v>258</v>
      </c>
      <c r="B121" s="8">
        <v>45564</v>
      </c>
      <c r="C121" s="4" t="s">
        <v>259</v>
      </c>
      <c r="D121" s="4" t="s">
        <v>260</v>
      </c>
      <c r="E121" s="4" t="s">
        <v>126</v>
      </c>
      <c r="F121" s="4" t="s">
        <v>127</v>
      </c>
      <c r="G121" s="4" t="s">
        <v>46</v>
      </c>
      <c r="H121" s="38">
        <v>1</v>
      </c>
      <c r="I121" s="4">
        <v>199.99</v>
      </c>
      <c r="J121" s="4" t="s">
        <v>57</v>
      </c>
      <c r="K121" s="4" t="s">
        <v>63</v>
      </c>
      <c r="L121" s="4" t="s">
        <v>36</v>
      </c>
      <c r="M121" s="8">
        <v>44953</v>
      </c>
      <c r="N121" s="34">
        <v>199.99</v>
      </c>
      <c r="O121" s="4">
        <f ca="1">DATEDIF(Table1[[#This Row],[Customer_Since]],TODAY(),"Y")</f>
        <v>3</v>
      </c>
      <c r="P121" s="12">
        <f ca="1">DATEDIF(Table1[[#This Row],[Date]],TODAY(),"M")</f>
        <v>17</v>
      </c>
      <c r="Q121" s="12" t="str">
        <f ca="1">IF(Table1[[#This Row],[Months_Since_Purchase]]&gt;12,"Inactive","Active")</f>
        <v>Inactive</v>
      </c>
      <c r="R121" s="14">
        <f>EOMONTH(Table1[[#This Row],[Date]],0)</f>
        <v>45565</v>
      </c>
      <c r="S121" s="13" t="str">
        <f>IF(Table1[[#This Row],[Total_Amount]]&gt;=700,"High",
 IF(Table1[[#This Row],[Total_Amount]]&gt;=300,"Medium","Low"))</f>
        <v>Low</v>
      </c>
      <c r="T121" s="13">
        <f>Table1[[#This Row],[Total_Amount]]*(1-$AC$8)*0.3</f>
        <v>43.62926932110819</v>
      </c>
      <c r="U121" s="13">
        <f t="shared" si="2"/>
        <v>739.93000000000006</v>
      </c>
      <c r="V121" s="13" t="str">
        <f>IF(Table1[[#This Row],[Customer_Total_Spend]]&gt;5000,"Yes","No")</f>
        <v>No</v>
      </c>
      <c r="W121" s="13">
        <f t="shared" si="3"/>
        <v>15</v>
      </c>
    </row>
    <row r="122" spans="1:23" ht="15" thickBot="1" x14ac:dyDescent="0.35">
      <c r="A122" s="3" t="s">
        <v>261</v>
      </c>
      <c r="B122" s="8">
        <v>45566</v>
      </c>
      <c r="C122" s="4" t="s">
        <v>42</v>
      </c>
      <c r="D122" s="4" t="s">
        <v>43</v>
      </c>
      <c r="E122" s="4" t="s">
        <v>105</v>
      </c>
      <c r="F122" s="4" t="s">
        <v>106</v>
      </c>
      <c r="G122" s="4" t="s">
        <v>46</v>
      </c>
      <c r="H122" s="38">
        <v>4</v>
      </c>
      <c r="I122" s="4">
        <v>299.99</v>
      </c>
      <c r="J122" s="4" t="s">
        <v>20</v>
      </c>
      <c r="K122" s="4" t="s">
        <v>21</v>
      </c>
      <c r="L122" s="4" t="s">
        <v>27</v>
      </c>
      <c r="M122" s="8">
        <v>44460</v>
      </c>
      <c r="N122" s="34">
        <v>1199.96</v>
      </c>
      <c r="O122" s="4">
        <f ca="1">DATEDIF(Table1[[#This Row],[Customer_Since]],TODAY(),"Y")</f>
        <v>4</v>
      </c>
      <c r="P122" s="12">
        <f ca="1">DATEDIF(Table1[[#This Row],[Date]],TODAY(),"M")</f>
        <v>17</v>
      </c>
      <c r="Q122" s="12" t="str">
        <f ca="1">IF(Table1[[#This Row],[Months_Since_Purchase]]&gt;12,"Inactive","Active")</f>
        <v>Inactive</v>
      </c>
      <c r="R122" s="14">
        <f>EOMONTH(Table1[[#This Row],[Date]],0)</f>
        <v>45596</v>
      </c>
      <c r="S122" s="13" t="str">
        <f>IF(Table1[[#This Row],[Total_Amount]]&gt;=700,"High",
 IF(Table1[[#This Row],[Total_Amount]]&gt;=300,"Medium","Low"))</f>
        <v>High</v>
      </c>
      <c r="T122" s="13">
        <f>Table1[[#This Row],[Total_Amount]]*(1-$AC$8)*0.3</f>
        <v>261.77997907173847</v>
      </c>
      <c r="U122" s="13">
        <f t="shared" si="2"/>
        <v>6169.7400000000007</v>
      </c>
      <c r="V122" s="13" t="str">
        <f>IF(Table1[[#This Row],[Customer_Total_Spend]]&gt;5000,"Yes","No")</f>
        <v>Yes</v>
      </c>
      <c r="W122" s="13">
        <f t="shared" si="3"/>
        <v>26</v>
      </c>
    </row>
    <row r="123" spans="1:23" ht="15" thickBot="1" x14ac:dyDescent="0.35">
      <c r="A123" s="3" t="s">
        <v>262</v>
      </c>
      <c r="B123" s="8">
        <v>45572</v>
      </c>
      <c r="C123" s="4" t="s">
        <v>89</v>
      </c>
      <c r="D123" s="4" t="s">
        <v>90</v>
      </c>
      <c r="E123" s="4" t="s">
        <v>31</v>
      </c>
      <c r="F123" s="4" t="s">
        <v>32</v>
      </c>
      <c r="G123" s="4" t="s">
        <v>33</v>
      </c>
      <c r="H123" s="38">
        <v>2</v>
      </c>
      <c r="I123" s="4">
        <v>59.99</v>
      </c>
      <c r="J123" s="4" t="s">
        <v>26</v>
      </c>
      <c r="K123" s="4" t="s">
        <v>21</v>
      </c>
      <c r="L123" s="4" t="s">
        <v>22</v>
      </c>
      <c r="M123" s="8">
        <v>44579</v>
      </c>
      <c r="N123" s="34">
        <v>119.98</v>
      </c>
      <c r="O123" s="4">
        <f ca="1">DATEDIF(Table1[[#This Row],[Customer_Since]],TODAY(),"Y")</f>
        <v>4</v>
      </c>
      <c r="P123" s="12">
        <f ca="1">DATEDIF(Table1[[#This Row],[Date]],TODAY(),"M")</f>
        <v>16</v>
      </c>
      <c r="Q123" s="12" t="str">
        <f ca="1">IF(Table1[[#This Row],[Months_Since_Purchase]]&gt;12,"Inactive","Active")</f>
        <v>Inactive</v>
      </c>
      <c r="R123" s="14">
        <f>EOMONTH(Table1[[#This Row],[Date]],0)</f>
        <v>45596</v>
      </c>
      <c r="S123" s="13" t="str">
        <f>IF(Table1[[#This Row],[Total_Amount]]&gt;=700,"High",
 IF(Table1[[#This Row],[Total_Amount]]&gt;=300,"Medium","Low"))</f>
        <v>Low</v>
      </c>
      <c r="T123" s="13">
        <f>Table1[[#This Row],[Total_Amount]]*(1-$AC$8)*0.3</f>
        <v>26.174507391102356</v>
      </c>
      <c r="U123" s="13">
        <f t="shared" si="2"/>
        <v>1909.93</v>
      </c>
      <c r="V123" s="13" t="str">
        <f>IF(Table1[[#This Row],[Customer_Total_Spend]]&gt;5000,"Yes","No")</f>
        <v>No</v>
      </c>
      <c r="W123" s="13">
        <f t="shared" si="3"/>
        <v>29</v>
      </c>
    </row>
    <row r="124" spans="1:23" ht="15" thickBot="1" x14ac:dyDescent="0.35">
      <c r="A124" s="3" t="s">
        <v>263</v>
      </c>
      <c r="B124" s="8">
        <v>45572</v>
      </c>
      <c r="C124" s="4" t="s">
        <v>234</v>
      </c>
      <c r="D124" s="4" t="s">
        <v>235</v>
      </c>
      <c r="E124" s="4" t="s">
        <v>52</v>
      </c>
      <c r="F124" s="4" t="s">
        <v>53</v>
      </c>
      <c r="G124" s="4" t="s">
        <v>19</v>
      </c>
      <c r="H124" s="38">
        <v>4</v>
      </c>
      <c r="I124" s="4">
        <v>149.99</v>
      </c>
      <c r="J124" s="4" t="s">
        <v>26</v>
      </c>
      <c r="K124" s="4" t="s">
        <v>40</v>
      </c>
      <c r="L124" s="4" t="s">
        <v>27</v>
      </c>
      <c r="M124" s="8">
        <v>45076</v>
      </c>
      <c r="N124" s="34">
        <v>599.96</v>
      </c>
      <c r="O124" s="4">
        <f ca="1">DATEDIF(Table1[[#This Row],[Customer_Since]],TODAY(),"Y")</f>
        <v>2</v>
      </c>
      <c r="P124" s="12">
        <f ca="1">DATEDIF(Table1[[#This Row],[Date]],TODAY(),"M")</f>
        <v>16</v>
      </c>
      <c r="Q124" s="12" t="str">
        <f ca="1">IF(Table1[[#This Row],[Months_Since_Purchase]]&gt;12,"Inactive","Active")</f>
        <v>Inactive</v>
      </c>
      <c r="R124" s="14">
        <f>EOMONTH(Table1[[#This Row],[Date]],0)</f>
        <v>45596</v>
      </c>
      <c r="S124" s="13" t="str">
        <f>IF(Table1[[#This Row],[Total_Amount]]&gt;=700,"High",
 IF(Table1[[#This Row],[Total_Amount]]&gt;=300,"Medium","Low"))</f>
        <v>Medium</v>
      </c>
      <c r="T124" s="13">
        <f>Table1[[#This Row],[Total_Amount]]*(1-$AC$8)*0.3</f>
        <v>130.88562639077986</v>
      </c>
      <c r="U124" s="13">
        <f t="shared" si="2"/>
        <v>6349.83</v>
      </c>
      <c r="V124" s="13" t="str">
        <f>IF(Table1[[#This Row],[Customer_Total_Spend]]&gt;5000,"Yes","No")</f>
        <v>Yes</v>
      </c>
      <c r="W124" s="13">
        <f t="shared" si="3"/>
        <v>16</v>
      </c>
    </row>
    <row r="125" spans="1:23" ht="15" thickBot="1" x14ac:dyDescent="0.35">
      <c r="A125" s="3" t="s">
        <v>264</v>
      </c>
      <c r="B125" s="8">
        <v>45573</v>
      </c>
      <c r="C125" s="4" t="s">
        <v>211</v>
      </c>
      <c r="D125" s="4" t="s">
        <v>212</v>
      </c>
      <c r="E125" s="4" t="s">
        <v>80</v>
      </c>
      <c r="F125" s="4" t="s">
        <v>81</v>
      </c>
      <c r="G125" s="4" t="s">
        <v>19</v>
      </c>
      <c r="H125" s="38">
        <v>2</v>
      </c>
      <c r="I125" s="4">
        <v>699.99</v>
      </c>
      <c r="J125" s="4" t="s">
        <v>57</v>
      </c>
      <c r="K125" s="4" t="s">
        <v>63</v>
      </c>
      <c r="L125" s="4" t="s">
        <v>27</v>
      </c>
      <c r="M125" s="8">
        <v>45274</v>
      </c>
      <c r="N125" s="34">
        <v>1399.98</v>
      </c>
      <c r="O125" s="4">
        <f ca="1">DATEDIF(Table1[[#This Row],[Customer_Since]],TODAY(),"Y")</f>
        <v>2</v>
      </c>
      <c r="P125" s="12">
        <f ca="1">DATEDIF(Table1[[#This Row],[Date]],TODAY(),"M")</f>
        <v>16</v>
      </c>
      <c r="Q125" s="12" t="str">
        <f ca="1">IF(Table1[[#This Row],[Months_Since_Purchase]]&gt;12,"Inactive","Active")</f>
        <v>Inactive</v>
      </c>
      <c r="R125" s="14">
        <f>EOMONTH(Table1[[#This Row],[Date]],0)</f>
        <v>45596</v>
      </c>
      <c r="S125" s="13" t="str">
        <f>IF(Table1[[#This Row],[Total_Amount]]&gt;=700,"High",
 IF(Table1[[#This Row],[Total_Amount]]&gt;=300,"Medium","Low"))</f>
        <v>High</v>
      </c>
      <c r="T125" s="13">
        <f>Table1[[#This Row],[Total_Amount]]*(1-$AC$8)*0.3</f>
        <v>305.41579311048065</v>
      </c>
      <c r="U125" s="13">
        <f t="shared" si="2"/>
        <v>3649.8599999999997</v>
      </c>
      <c r="V125" s="13" t="str">
        <f>IF(Table1[[#This Row],[Customer_Total_Spend]]&gt;5000,"Yes","No")</f>
        <v>No</v>
      </c>
      <c r="W125" s="13">
        <f t="shared" si="3"/>
        <v>31</v>
      </c>
    </row>
    <row r="126" spans="1:23" ht="15" thickBot="1" x14ac:dyDescent="0.35">
      <c r="A126" s="3" t="s">
        <v>265</v>
      </c>
      <c r="B126" s="8">
        <v>45573</v>
      </c>
      <c r="C126" s="4" t="s">
        <v>231</v>
      </c>
      <c r="D126" s="4" t="s">
        <v>232</v>
      </c>
      <c r="E126" s="4" t="s">
        <v>44</v>
      </c>
      <c r="F126" s="4" t="s">
        <v>45</v>
      </c>
      <c r="G126" s="4" t="s">
        <v>46</v>
      </c>
      <c r="H126" s="38">
        <v>3</v>
      </c>
      <c r="I126" s="4">
        <v>149.99</v>
      </c>
      <c r="J126" s="4" t="s">
        <v>26</v>
      </c>
      <c r="K126" s="4" t="s">
        <v>35</v>
      </c>
      <c r="L126" s="4" t="s">
        <v>36</v>
      </c>
      <c r="M126" s="8">
        <v>44940</v>
      </c>
      <c r="N126" s="34">
        <v>449.97</v>
      </c>
      <c r="O126" s="4">
        <f ca="1">DATEDIF(Table1[[#This Row],[Customer_Since]],TODAY(),"Y")</f>
        <v>3</v>
      </c>
      <c r="P126" s="12">
        <f ca="1">DATEDIF(Table1[[#This Row],[Date]],TODAY(),"M")</f>
        <v>16</v>
      </c>
      <c r="Q126" s="12" t="str">
        <f ca="1">IF(Table1[[#This Row],[Months_Since_Purchase]]&gt;12,"Inactive","Active")</f>
        <v>Inactive</v>
      </c>
      <c r="R126" s="14">
        <f>EOMONTH(Table1[[#This Row],[Date]],0)</f>
        <v>45596</v>
      </c>
      <c r="S126" s="13" t="str">
        <f>IF(Table1[[#This Row],[Total_Amount]]&gt;=700,"High",
 IF(Table1[[#This Row],[Total_Amount]]&gt;=300,"Medium","Low"))</f>
        <v>Medium</v>
      </c>
      <c r="T126" s="13">
        <f>Table1[[#This Row],[Total_Amount]]*(1-$AC$8)*0.3</f>
        <v>98.164219793084911</v>
      </c>
      <c r="U126" s="13">
        <f t="shared" si="2"/>
        <v>1149.93</v>
      </c>
      <c r="V126" s="13" t="str">
        <f>IF(Table1[[#This Row],[Customer_Total_Spend]]&gt;5000,"Yes","No")</f>
        <v>No</v>
      </c>
      <c r="W126" s="13">
        <f t="shared" si="3"/>
        <v>35</v>
      </c>
    </row>
    <row r="127" spans="1:23" ht="15" thickBot="1" x14ac:dyDescent="0.35">
      <c r="A127" s="3" t="s">
        <v>266</v>
      </c>
      <c r="B127" s="8">
        <v>45576</v>
      </c>
      <c r="C127" s="4" t="s">
        <v>147</v>
      </c>
      <c r="D127" s="4" t="s">
        <v>148</v>
      </c>
      <c r="E127" s="4" t="s">
        <v>105</v>
      </c>
      <c r="F127" s="4" t="s">
        <v>106</v>
      </c>
      <c r="G127" s="4" t="s">
        <v>46</v>
      </c>
      <c r="H127" s="38">
        <v>3</v>
      </c>
      <c r="I127" s="4">
        <v>299.99</v>
      </c>
      <c r="J127" s="4" t="s">
        <v>26</v>
      </c>
      <c r="K127" s="4" t="s">
        <v>21</v>
      </c>
      <c r="L127" s="4" t="s">
        <v>36</v>
      </c>
      <c r="M127" s="8">
        <v>45174</v>
      </c>
      <c r="N127" s="34">
        <v>899.97</v>
      </c>
      <c r="O127" s="4">
        <f ca="1">DATEDIF(Table1[[#This Row],[Customer_Since]],TODAY(),"Y")</f>
        <v>2</v>
      </c>
      <c r="P127" s="12">
        <f ca="1">DATEDIF(Table1[[#This Row],[Date]],TODAY(),"M")</f>
        <v>16</v>
      </c>
      <c r="Q127" s="12" t="str">
        <f ca="1">IF(Table1[[#This Row],[Months_Since_Purchase]]&gt;12,"Inactive","Active")</f>
        <v>Inactive</v>
      </c>
      <c r="R127" s="14">
        <f>EOMONTH(Table1[[#This Row],[Date]],0)</f>
        <v>45596</v>
      </c>
      <c r="S127" s="13" t="str">
        <f>IF(Table1[[#This Row],[Total_Amount]]&gt;=700,"High",
 IF(Table1[[#This Row],[Total_Amount]]&gt;=300,"Medium","Low"))</f>
        <v>High</v>
      </c>
      <c r="T127" s="13">
        <f>Table1[[#This Row],[Total_Amount]]*(1-$AC$8)*0.3</f>
        <v>196.33498430380385</v>
      </c>
      <c r="U127" s="13">
        <f t="shared" si="2"/>
        <v>7309.7999999999993</v>
      </c>
      <c r="V127" s="13" t="str">
        <f>IF(Table1[[#This Row],[Customer_Total_Spend]]&gt;5000,"Yes","No")</f>
        <v>Yes</v>
      </c>
      <c r="W127" s="13">
        <f t="shared" si="3"/>
        <v>26</v>
      </c>
    </row>
    <row r="128" spans="1:23" ht="15" thickBot="1" x14ac:dyDescent="0.35">
      <c r="A128" s="3" t="s">
        <v>267</v>
      </c>
      <c r="B128" s="8">
        <v>45579</v>
      </c>
      <c r="C128" s="4" t="s">
        <v>83</v>
      </c>
      <c r="D128" s="4" t="s">
        <v>84</v>
      </c>
      <c r="E128" s="4" t="s">
        <v>61</v>
      </c>
      <c r="F128" s="4" t="s">
        <v>62</v>
      </c>
      <c r="G128" s="4" t="s">
        <v>19</v>
      </c>
      <c r="H128" s="38">
        <v>3</v>
      </c>
      <c r="I128" s="4">
        <v>899.99</v>
      </c>
      <c r="J128" s="4" t="s">
        <v>34</v>
      </c>
      <c r="K128" s="4" t="s">
        <v>50</v>
      </c>
      <c r="L128" s="4" t="s">
        <v>22</v>
      </c>
      <c r="M128" s="8">
        <v>45215</v>
      </c>
      <c r="N128" s="34">
        <v>2699.97</v>
      </c>
      <c r="O128" s="4">
        <f ca="1">DATEDIF(Table1[[#This Row],[Customer_Since]],TODAY(),"Y")</f>
        <v>2</v>
      </c>
      <c r="P128" s="12">
        <f ca="1">DATEDIF(Table1[[#This Row],[Date]],TODAY(),"M")</f>
        <v>16</v>
      </c>
      <c r="Q128" s="12" t="str">
        <f ca="1">IF(Table1[[#This Row],[Months_Since_Purchase]]&gt;12,"Inactive","Active")</f>
        <v>Inactive</v>
      </c>
      <c r="R128" s="14">
        <f>EOMONTH(Table1[[#This Row],[Date]],0)</f>
        <v>45596</v>
      </c>
      <c r="S128" s="13" t="str">
        <f>IF(Table1[[#This Row],[Total_Amount]]&gt;=700,"High",
 IF(Table1[[#This Row],[Total_Amount]]&gt;=300,"Medium","Low"))</f>
        <v>High</v>
      </c>
      <c r="T128" s="13">
        <f>Table1[[#This Row],[Total_Amount]]*(1-$AC$8)*0.3</f>
        <v>589.01804234667964</v>
      </c>
      <c r="U128" s="13">
        <f t="shared" si="2"/>
        <v>3779.93</v>
      </c>
      <c r="V128" s="13" t="str">
        <f>IF(Table1[[#This Row],[Customer_Total_Spend]]&gt;5000,"Yes","No")</f>
        <v>No</v>
      </c>
      <c r="W128" s="13">
        <f t="shared" si="3"/>
        <v>24</v>
      </c>
    </row>
    <row r="129" spans="1:23" ht="15" thickBot="1" x14ac:dyDescent="0.35">
      <c r="A129" s="3" t="s">
        <v>268</v>
      </c>
      <c r="B129" s="8">
        <v>45581</v>
      </c>
      <c r="C129" s="4" t="s">
        <v>96</v>
      </c>
      <c r="D129" s="4" t="s">
        <v>97</v>
      </c>
      <c r="E129" s="4" t="s">
        <v>80</v>
      </c>
      <c r="F129" s="4" t="s">
        <v>81</v>
      </c>
      <c r="G129" s="4" t="s">
        <v>19</v>
      </c>
      <c r="H129" s="38">
        <v>5</v>
      </c>
      <c r="I129" s="4">
        <v>699.99</v>
      </c>
      <c r="J129" s="4" t="s">
        <v>20</v>
      </c>
      <c r="K129" s="4" t="s">
        <v>63</v>
      </c>
      <c r="L129" s="4" t="s">
        <v>36</v>
      </c>
      <c r="M129" s="8">
        <v>45008</v>
      </c>
      <c r="N129" s="34">
        <v>3499.95</v>
      </c>
      <c r="O129" s="4">
        <f ca="1">DATEDIF(Table1[[#This Row],[Customer_Since]],TODAY(),"Y")</f>
        <v>2</v>
      </c>
      <c r="P129" s="12">
        <f ca="1">DATEDIF(Table1[[#This Row],[Date]],TODAY(),"M")</f>
        <v>16</v>
      </c>
      <c r="Q129" s="12" t="str">
        <f ca="1">IF(Table1[[#This Row],[Months_Since_Purchase]]&gt;12,"Inactive","Active")</f>
        <v>Inactive</v>
      </c>
      <c r="R129" s="14">
        <f>EOMONTH(Table1[[#This Row],[Date]],0)</f>
        <v>45596</v>
      </c>
      <c r="S129" s="13" t="str">
        <f>IF(Table1[[#This Row],[Total_Amount]]&gt;=700,"High",
 IF(Table1[[#This Row],[Total_Amount]]&gt;=300,"Medium","Low"))</f>
        <v>High</v>
      </c>
      <c r="T129" s="13">
        <f>Table1[[#This Row],[Total_Amount]]*(1-$AC$8)*0.3</f>
        <v>763.53948277620168</v>
      </c>
      <c r="U129" s="13">
        <f t="shared" si="2"/>
        <v>10649.8</v>
      </c>
      <c r="V129" s="13" t="str">
        <f>IF(Table1[[#This Row],[Customer_Total_Spend]]&gt;5000,"Yes","No")</f>
        <v>Yes</v>
      </c>
      <c r="W129" s="13">
        <f t="shared" si="3"/>
        <v>31</v>
      </c>
    </row>
    <row r="130" spans="1:23" ht="15" thickBot="1" x14ac:dyDescent="0.35">
      <c r="A130" s="3" t="s">
        <v>269</v>
      </c>
      <c r="B130" s="8">
        <v>45581</v>
      </c>
      <c r="C130" s="4" t="s">
        <v>171</v>
      </c>
      <c r="D130" s="4" t="s">
        <v>172</v>
      </c>
      <c r="E130" s="4" t="s">
        <v>80</v>
      </c>
      <c r="F130" s="4" t="s">
        <v>81</v>
      </c>
      <c r="G130" s="4" t="s">
        <v>19</v>
      </c>
      <c r="H130" s="38">
        <v>4</v>
      </c>
      <c r="I130" s="4">
        <v>699.99</v>
      </c>
      <c r="J130" s="4" t="s">
        <v>26</v>
      </c>
      <c r="K130" s="4" t="s">
        <v>21</v>
      </c>
      <c r="L130" s="4" t="s">
        <v>22</v>
      </c>
      <c r="M130" s="8">
        <v>45385</v>
      </c>
      <c r="N130" s="34">
        <v>2799.96</v>
      </c>
      <c r="O130" s="4">
        <f ca="1">DATEDIF(Table1[[#This Row],[Customer_Since]],TODAY(),"Y")</f>
        <v>1</v>
      </c>
      <c r="P130" s="12">
        <f ca="1">DATEDIF(Table1[[#This Row],[Date]],TODAY(),"M")</f>
        <v>16</v>
      </c>
      <c r="Q130" s="12" t="str">
        <f ca="1">IF(Table1[[#This Row],[Months_Since_Purchase]]&gt;12,"Inactive","Active")</f>
        <v>Inactive</v>
      </c>
      <c r="R130" s="14">
        <f>EOMONTH(Table1[[#This Row],[Date]],0)</f>
        <v>45596</v>
      </c>
      <c r="S130" s="13" t="str">
        <f>IF(Table1[[#This Row],[Total_Amount]]&gt;=700,"High",
 IF(Table1[[#This Row],[Total_Amount]]&gt;=300,"Medium","Low"))</f>
        <v>High</v>
      </c>
      <c r="T130" s="13">
        <f>Table1[[#This Row],[Total_Amount]]*(1-$AC$8)*0.3</f>
        <v>610.8315862209613</v>
      </c>
      <c r="U130" s="13">
        <f t="shared" ref="U130:U193" si="4">SUMIFS(N:N,C:C,C:C)</f>
        <v>3669.8500000000004</v>
      </c>
      <c r="V130" s="13" t="str">
        <f>IF(Table1[[#This Row],[Customer_Total_Spend]]&gt;5000,"Yes","No")</f>
        <v>No</v>
      </c>
      <c r="W130" s="13">
        <f t="shared" ref="W130:W193" si="5">COUNTIF(F:F,F:F)</f>
        <v>31</v>
      </c>
    </row>
    <row r="131" spans="1:23" ht="15" thickBot="1" x14ac:dyDescent="0.35">
      <c r="A131" s="3" t="s">
        <v>270</v>
      </c>
      <c r="B131" s="8">
        <v>45581</v>
      </c>
      <c r="C131" s="4" t="s">
        <v>150</v>
      </c>
      <c r="D131" s="4" t="s">
        <v>151</v>
      </c>
      <c r="E131" s="4" t="s">
        <v>61</v>
      </c>
      <c r="F131" s="4" t="s">
        <v>62</v>
      </c>
      <c r="G131" s="4" t="s">
        <v>19</v>
      </c>
      <c r="H131" s="38">
        <v>1</v>
      </c>
      <c r="I131" s="4">
        <v>899.99</v>
      </c>
      <c r="J131" s="4" t="s">
        <v>26</v>
      </c>
      <c r="K131" s="4" t="s">
        <v>63</v>
      </c>
      <c r="L131" s="4" t="s">
        <v>36</v>
      </c>
      <c r="M131" s="8">
        <v>45369</v>
      </c>
      <c r="N131" s="34">
        <v>899.99</v>
      </c>
      <c r="O131" s="4">
        <f ca="1">DATEDIF(Table1[[#This Row],[Customer_Since]],TODAY(),"Y")</f>
        <v>1</v>
      </c>
      <c r="P131" s="12">
        <f ca="1">DATEDIF(Table1[[#This Row],[Date]],TODAY(),"M")</f>
        <v>16</v>
      </c>
      <c r="Q131" s="12" t="str">
        <f ca="1">IF(Table1[[#This Row],[Months_Since_Purchase]]&gt;12,"Inactive","Active")</f>
        <v>Inactive</v>
      </c>
      <c r="R131" s="14">
        <f>EOMONTH(Table1[[#This Row],[Date]],0)</f>
        <v>45596</v>
      </c>
      <c r="S131" s="13" t="str">
        <f>IF(Table1[[#This Row],[Total_Amount]]&gt;=700,"High",
 IF(Table1[[#This Row],[Total_Amount]]&gt;=300,"Medium","Low"))</f>
        <v>High</v>
      </c>
      <c r="T131" s="13">
        <f>Table1[[#This Row],[Total_Amount]]*(1-$AC$8)*0.3</f>
        <v>196.33934744889322</v>
      </c>
      <c r="U131" s="13">
        <f t="shared" si="4"/>
        <v>5619.869999999999</v>
      </c>
      <c r="V131" s="13" t="str">
        <f>IF(Table1[[#This Row],[Customer_Total_Spend]]&gt;5000,"Yes","No")</f>
        <v>Yes</v>
      </c>
      <c r="W131" s="13">
        <f t="shared" si="5"/>
        <v>24</v>
      </c>
    </row>
    <row r="132" spans="1:23" ht="15" thickBot="1" x14ac:dyDescent="0.35">
      <c r="A132" s="3" t="s">
        <v>271</v>
      </c>
      <c r="B132" s="8">
        <v>45583</v>
      </c>
      <c r="C132" s="4" t="s">
        <v>226</v>
      </c>
      <c r="D132" s="4" t="s">
        <v>227</v>
      </c>
      <c r="E132" s="4" t="s">
        <v>52</v>
      </c>
      <c r="F132" s="4" t="s">
        <v>53</v>
      </c>
      <c r="G132" s="4" t="s">
        <v>19</v>
      </c>
      <c r="H132" s="38">
        <v>2</v>
      </c>
      <c r="I132" s="4">
        <v>149.99</v>
      </c>
      <c r="J132" s="4" t="s">
        <v>26</v>
      </c>
      <c r="K132" s="4" t="s">
        <v>50</v>
      </c>
      <c r="L132" s="4" t="s">
        <v>22</v>
      </c>
      <c r="M132" s="8">
        <v>44916</v>
      </c>
      <c r="N132" s="34">
        <v>299.98</v>
      </c>
      <c r="O132" s="4">
        <f ca="1">DATEDIF(Table1[[#This Row],[Customer_Since]],TODAY(),"Y")</f>
        <v>3</v>
      </c>
      <c r="P132" s="12">
        <f ca="1">DATEDIF(Table1[[#This Row],[Date]],TODAY(),"M")</f>
        <v>16</v>
      </c>
      <c r="Q132" s="12" t="str">
        <f ca="1">IF(Table1[[#This Row],[Months_Since_Purchase]]&gt;12,"Inactive","Active")</f>
        <v>Inactive</v>
      </c>
      <c r="R132" s="14">
        <f>EOMONTH(Table1[[#This Row],[Date]],0)</f>
        <v>45596</v>
      </c>
      <c r="S132" s="13" t="str">
        <f>IF(Table1[[#This Row],[Total_Amount]]&gt;=700,"High",
 IF(Table1[[#This Row],[Total_Amount]]&gt;=300,"Medium","Low"))</f>
        <v>Low</v>
      </c>
      <c r="T132" s="13">
        <f>Table1[[#This Row],[Total_Amount]]*(1-$AC$8)*0.3</f>
        <v>65.442813195389931</v>
      </c>
      <c r="U132" s="13">
        <f t="shared" si="4"/>
        <v>6989.7699999999986</v>
      </c>
      <c r="V132" s="13" t="str">
        <f>IF(Table1[[#This Row],[Customer_Total_Spend]]&gt;5000,"Yes","No")</f>
        <v>Yes</v>
      </c>
      <c r="W132" s="13">
        <f t="shared" si="5"/>
        <v>16</v>
      </c>
    </row>
    <row r="133" spans="1:23" ht="15" thickBot="1" x14ac:dyDescent="0.35">
      <c r="A133" s="3" t="s">
        <v>272</v>
      </c>
      <c r="B133" s="8">
        <v>45586</v>
      </c>
      <c r="C133" s="4" t="s">
        <v>226</v>
      </c>
      <c r="D133" s="4" t="s">
        <v>227</v>
      </c>
      <c r="E133" s="4" t="s">
        <v>117</v>
      </c>
      <c r="F133" s="4" t="s">
        <v>118</v>
      </c>
      <c r="G133" s="4" t="s">
        <v>19</v>
      </c>
      <c r="H133" s="38">
        <v>3</v>
      </c>
      <c r="I133" s="4">
        <v>89.99</v>
      </c>
      <c r="J133" s="4" t="s">
        <v>34</v>
      </c>
      <c r="K133" s="4" t="s">
        <v>21</v>
      </c>
      <c r="L133" s="4" t="s">
        <v>22</v>
      </c>
      <c r="M133" s="8">
        <v>44551</v>
      </c>
      <c r="N133" s="34">
        <v>269.97000000000003</v>
      </c>
      <c r="O133" s="4">
        <f ca="1">DATEDIF(Table1[[#This Row],[Customer_Since]],TODAY(),"Y")</f>
        <v>4</v>
      </c>
      <c r="P133" s="12">
        <f ca="1">DATEDIF(Table1[[#This Row],[Date]],TODAY(),"M")</f>
        <v>16</v>
      </c>
      <c r="Q133" s="12" t="str">
        <f ca="1">IF(Table1[[#This Row],[Months_Since_Purchase]]&gt;12,"Inactive","Active")</f>
        <v>Inactive</v>
      </c>
      <c r="R133" s="14">
        <f>EOMONTH(Table1[[#This Row],[Date]],0)</f>
        <v>45596</v>
      </c>
      <c r="S133" s="13" t="str">
        <f>IF(Table1[[#This Row],[Total_Amount]]&gt;=700,"High",
 IF(Table1[[#This Row],[Total_Amount]]&gt;=300,"Medium","Low"))</f>
        <v>Low</v>
      </c>
      <c r="T133" s="13">
        <f>Table1[[#This Row],[Total_Amount]]*(1-$AC$8)*0.3</f>
        <v>58.895913988797318</v>
      </c>
      <c r="U133" s="13">
        <f t="shared" si="4"/>
        <v>6989.7699999999986</v>
      </c>
      <c r="V133" s="13" t="str">
        <f>IF(Table1[[#This Row],[Customer_Total_Spend]]&gt;5000,"Yes","No")</f>
        <v>Yes</v>
      </c>
      <c r="W133" s="13">
        <f t="shared" si="5"/>
        <v>34</v>
      </c>
    </row>
    <row r="134" spans="1:23" ht="15" thickBot="1" x14ac:dyDescent="0.35">
      <c r="A134" s="3" t="s">
        <v>273</v>
      </c>
      <c r="B134" s="8">
        <v>45588</v>
      </c>
      <c r="C134" s="4" t="s">
        <v>38</v>
      </c>
      <c r="D134" s="4" t="s">
        <v>39</v>
      </c>
      <c r="E134" s="4" t="s">
        <v>52</v>
      </c>
      <c r="F134" s="4" t="s">
        <v>53</v>
      </c>
      <c r="G134" s="4" t="s">
        <v>19</v>
      </c>
      <c r="H134" s="38">
        <v>2</v>
      </c>
      <c r="I134" s="4">
        <v>149.99</v>
      </c>
      <c r="J134" s="4" t="s">
        <v>34</v>
      </c>
      <c r="K134" s="4" t="s">
        <v>21</v>
      </c>
      <c r="L134" s="4" t="s">
        <v>22</v>
      </c>
      <c r="M134" s="8">
        <v>44473</v>
      </c>
      <c r="N134" s="34">
        <v>299.98</v>
      </c>
      <c r="O134" s="4">
        <f ca="1">DATEDIF(Table1[[#This Row],[Customer_Since]],TODAY(),"Y")</f>
        <v>4</v>
      </c>
      <c r="P134" s="12">
        <f ca="1">DATEDIF(Table1[[#This Row],[Date]],TODAY(),"M")</f>
        <v>16</v>
      </c>
      <c r="Q134" s="12" t="str">
        <f ca="1">IF(Table1[[#This Row],[Months_Since_Purchase]]&gt;12,"Inactive","Active")</f>
        <v>Inactive</v>
      </c>
      <c r="R134" s="14">
        <f>EOMONTH(Table1[[#This Row],[Date]],0)</f>
        <v>45596</v>
      </c>
      <c r="S134" s="13" t="str">
        <f>IF(Table1[[#This Row],[Total_Amount]]&gt;=700,"High",
 IF(Table1[[#This Row],[Total_Amount]]&gt;=300,"Medium","Low"))</f>
        <v>Low</v>
      </c>
      <c r="T134" s="13">
        <f>Table1[[#This Row],[Total_Amount]]*(1-$AC$8)*0.3</f>
        <v>65.442813195389931</v>
      </c>
      <c r="U134" s="13">
        <f t="shared" si="4"/>
        <v>4309.8099999999995</v>
      </c>
      <c r="V134" s="13" t="str">
        <f>IF(Table1[[#This Row],[Customer_Total_Spend]]&gt;5000,"Yes","No")</f>
        <v>No</v>
      </c>
      <c r="W134" s="13">
        <f t="shared" si="5"/>
        <v>16</v>
      </c>
    </row>
    <row r="135" spans="1:23" ht="15" thickBot="1" x14ac:dyDescent="0.35">
      <c r="A135" s="3" t="s">
        <v>274</v>
      </c>
      <c r="B135" s="8">
        <v>45588</v>
      </c>
      <c r="C135" s="4" t="s">
        <v>154</v>
      </c>
      <c r="D135" s="4" t="s">
        <v>155</v>
      </c>
      <c r="E135" s="4" t="s">
        <v>80</v>
      </c>
      <c r="F135" s="4" t="s">
        <v>81</v>
      </c>
      <c r="G135" s="4" t="s">
        <v>19</v>
      </c>
      <c r="H135" s="38">
        <v>2</v>
      </c>
      <c r="I135" s="4">
        <v>699.99</v>
      </c>
      <c r="J135" s="4" t="s">
        <v>20</v>
      </c>
      <c r="K135" s="4" t="s">
        <v>21</v>
      </c>
      <c r="L135" s="4" t="s">
        <v>22</v>
      </c>
      <c r="M135" s="8">
        <v>44992</v>
      </c>
      <c r="N135" s="34">
        <v>1399.98</v>
      </c>
      <c r="O135" s="4">
        <f ca="1">DATEDIF(Table1[[#This Row],[Customer_Since]],TODAY(),"Y")</f>
        <v>2</v>
      </c>
      <c r="P135" s="12">
        <f ca="1">DATEDIF(Table1[[#This Row],[Date]],TODAY(),"M")</f>
        <v>16</v>
      </c>
      <c r="Q135" s="12" t="str">
        <f ca="1">IF(Table1[[#This Row],[Months_Since_Purchase]]&gt;12,"Inactive","Active")</f>
        <v>Inactive</v>
      </c>
      <c r="R135" s="14">
        <f>EOMONTH(Table1[[#This Row],[Date]],0)</f>
        <v>45596</v>
      </c>
      <c r="S135" s="13" t="str">
        <f>IF(Table1[[#This Row],[Total_Amount]]&gt;=700,"High",
 IF(Table1[[#This Row],[Total_Amount]]&gt;=300,"Medium","Low"))</f>
        <v>High</v>
      </c>
      <c r="T135" s="13">
        <f>Table1[[#This Row],[Total_Amount]]*(1-$AC$8)*0.3</f>
        <v>305.41579311048065</v>
      </c>
      <c r="U135" s="13">
        <f t="shared" si="4"/>
        <v>5499.8099999999995</v>
      </c>
      <c r="V135" s="13" t="str">
        <f>IF(Table1[[#This Row],[Customer_Total_Spend]]&gt;5000,"Yes","No")</f>
        <v>Yes</v>
      </c>
      <c r="W135" s="13">
        <f t="shared" si="5"/>
        <v>31</v>
      </c>
    </row>
    <row r="136" spans="1:23" ht="15" thickBot="1" x14ac:dyDescent="0.35">
      <c r="A136" s="3" t="s">
        <v>275</v>
      </c>
      <c r="B136" s="8">
        <v>45589</v>
      </c>
      <c r="C136" s="4" t="s">
        <v>158</v>
      </c>
      <c r="D136" s="4" t="s">
        <v>159</v>
      </c>
      <c r="E136" s="4" t="s">
        <v>80</v>
      </c>
      <c r="F136" s="4" t="s">
        <v>81</v>
      </c>
      <c r="G136" s="4" t="s">
        <v>19</v>
      </c>
      <c r="H136" s="38">
        <v>5</v>
      </c>
      <c r="I136" s="4">
        <v>699.99</v>
      </c>
      <c r="J136" s="4" t="s">
        <v>20</v>
      </c>
      <c r="K136" s="4" t="s">
        <v>40</v>
      </c>
      <c r="L136" s="4" t="s">
        <v>27</v>
      </c>
      <c r="M136" s="8">
        <v>44635</v>
      </c>
      <c r="N136" s="34">
        <v>3499.95</v>
      </c>
      <c r="O136" s="4">
        <f ca="1">DATEDIF(Table1[[#This Row],[Customer_Since]],TODAY(),"Y")</f>
        <v>3</v>
      </c>
      <c r="P136" s="12">
        <f ca="1">DATEDIF(Table1[[#This Row],[Date]],TODAY(),"M")</f>
        <v>16</v>
      </c>
      <c r="Q136" s="12" t="str">
        <f ca="1">IF(Table1[[#This Row],[Months_Since_Purchase]]&gt;12,"Inactive","Active")</f>
        <v>Inactive</v>
      </c>
      <c r="R136" s="14">
        <f>EOMONTH(Table1[[#This Row],[Date]],0)</f>
        <v>45596</v>
      </c>
      <c r="S136" s="13" t="str">
        <f>IF(Table1[[#This Row],[Total_Amount]]&gt;=700,"High",
 IF(Table1[[#This Row],[Total_Amount]]&gt;=300,"Medium","Low"))</f>
        <v>High</v>
      </c>
      <c r="T136" s="13">
        <f>Table1[[#This Row],[Total_Amount]]*(1-$AC$8)*0.3</f>
        <v>763.53948277620168</v>
      </c>
      <c r="U136" s="13">
        <f t="shared" si="4"/>
        <v>5649.84</v>
      </c>
      <c r="V136" s="13" t="str">
        <f>IF(Table1[[#This Row],[Customer_Total_Spend]]&gt;5000,"Yes","No")</f>
        <v>Yes</v>
      </c>
      <c r="W136" s="13">
        <f t="shared" si="5"/>
        <v>31</v>
      </c>
    </row>
    <row r="137" spans="1:23" ht="15" thickBot="1" x14ac:dyDescent="0.35">
      <c r="A137" s="3" t="s">
        <v>276</v>
      </c>
      <c r="B137" s="8">
        <v>45592</v>
      </c>
      <c r="C137" s="4" t="s">
        <v>171</v>
      </c>
      <c r="D137" s="4" t="s">
        <v>172</v>
      </c>
      <c r="E137" s="4" t="s">
        <v>117</v>
      </c>
      <c r="F137" s="4" t="s">
        <v>118</v>
      </c>
      <c r="G137" s="4" t="s">
        <v>19</v>
      </c>
      <c r="H137" s="38">
        <v>3</v>
      </c>
      <c r="I137" s="4">
        <v>89.99</v>
      </c>
      <c r="J137" s="4" t="s">
        <v>26</v>
      </c>
      <c r="K137" s="4" t="s">
        <v>40</v>
      </c>
      <c r="L137" s="4" t="s">
        <v>36</v>
      </c>
      <c r="M137" s="8">
        <v>44615</v>
      </c>
      <c r="N137" s="34">
        <v>269.97000000000003</v>
      </c>
      <c r="O137" s="4">
        <f ca="1">DATEDIF(Table1[[#This Row],[Customer_Since]],TODAY(),"Y")</f>
        <v>4</v>
      </c>
      <c r="P137" s="12">
        <f ca="1">DATEDIF(Table1[[#This Row],[Date]],TODAY(),"M")</f>
        <v>16</v>
      </c>
      <c r="Q137" s="12" t="str">
        <f ca="1">IF(Table1[[#This Row],[Months_Since_Purchase]]&gt;12,"Inactive","Active")</f>
        <v>Inactive</v>
      </c>
      <c r="R137" s="14">
        <f>EOMONTH(Table1[[#This Row],[Date]],0)</f>
        <v>45596</v>
      </c>
      <c r="S137" s="13" t="str">
        <f>IF(Table1[[#This Row],[Total_Amount]]&gt;=700,"High",
 IF(Table1[[#This Row],[Total_Amount]]&gt;=300,"Medium","Low"))</f>
        <v>Low</v>
      </c>
      <c r="T137" s="13">
        <f>Table1[[#This Row],[Total_Amount]]*(1-$AC$8)*0.3</f>
        <v>58.895913988797318</v>
      </c>
      <c r="U137" s="13">
        <f t="shared" si="4"/>
        <v>3669.8500000000004</v>
      </c>
      <c r="V137" s="13" t="str">
        <f>IF(Table1[[#This Row],[Customer_Total_Spend]]&gt;5000,"Yes","No")</f>
        <v>No</v>
      </c>
      <c r="W137" s="13">
        <f t="shared" si="5"/>
        <v>34</v>
      </c>
    </row>
    <row r="138" spans="1:23" ht="15" thickBot="1" x14ac:dyDescent="0.35">
      <c r="A138" s="3" t="s">
        <v>277</v>
      </c>
      <c r="B138" s="8">
        <v>45597</v>
      </c>
      <c r="C138" s="4" t="s">
        <v>15</v>
      </c>
      <c r="D138" s="4" t="s">
        <v>16</v>
      </c>
      <c r="E138" s="4" t="s">
        <v>17</v>
      </c>
      <c r="F138" s="4" t="s">
        <v>18</v>
      </c>
      <c r="G138" s="4" t="s">
        <v>19</v>
      </c>
      <c r="H138" s="38">
        <v>5</v>
      </c>
      <c r="I138" s="4">
        <v>249.99</v>
      </c>
      <c r="J138" s="4" t="s">
        <v>26</v>
      </c>
      <c r="K138" s="4" t="s">
        <v>35</v>
      </c>
      <c r="L138" s="4" t="s">
        <v>36</v>
      </c>
      <c r="M138" s="8">
        <v>44881</v>
      </c>
      <c r="N138" s="34">
        <v>1249.95</v>
      </c>
      <c r="O138" s="4">
        <f ca="1">DATEDIF(Table1[[#This Row],[Customer_Since]],TODAY(),"Y")</f>
        <v>3</v>
      </c>
      <c r="P138" s="12">
        <f ca="1">DATEDIF(Table1[[#This Row],[Date]],TODAY(),"M")</f>
        <v>16</v>
      </c>
      <c r="Q138" s="12" t="str">
        <f ca="1">IF(Table1[[#This Row],[Months_Since_Purchase]]&gt;12,"Inactive","Active")</f>
        <v>Inactive</v>
      </c>
      <c r="R138" s="14">
        <f>EOMONTH(Table1[[#This Row],[Date]],0)</f>
        <v>45626</v>
      </c>
      <c r="S138" s="13" t="str">
        <f>IF(Table1[[#This Row],[Total_Amount]]&gt;=700,"High",
 IF(Table1[[#This Row],[Total_Amount]]&gt;=300,"Medium","Low"))</f>
        <v>High</v>
      </c>
      <c r="T138" s="13">
        <f>Table1[[#This Row],[Total_Amount]]*(1-$AC$8)*0.3</f>
        <v>272.685660222607</v>
      </c>
      <c r="U138" s="13">
        <f t="shared" si="4"/>
        <v>8309.739999999998</v>
      </c>
      <c r="V138" s="13" t="str">
        <f>IF(Table1[[#This Row],[Customer_Total_Spend]]&gt;5000,"Yes","No")</f>
        <v>Yes</v>
      </c>
      <c r="W138" s="13">
        <f t="shared" si="5"/>
        <v>26</v>
      </c>
    </row>
    <row r="139" spans="1:23" ht="15" thickBot="1" x14ac:dyDescent="0.35">
      <c r="A139" s="3" t="s">
        <v>278</v>
      </c>
      <c r="B139" s="8">
        <v>45600</v>
      </c>
      <c r="C139" s="4" t="s">
        <v>65</v>
      </c>
      <c r="D139" s="4" t="s">
        <v>66</v>
      </c>
      <c r="E139" s="4" t="s">
        <v>105</v>
      </c>
      <c r="F139" s="4" t="s">
        <v>106</v>
      </c>
      <c r="G139" s="4" t="s">
        <v>46</v>
      </c>
      <c r="H139" s="38">
        <v>3</v>
      </c>
      <c r="I139" s="4">
        <v>299.99</v>
      </c>
      <c r="J139" s="4" t="s">
        <v>26</v>
      </c>
      <c r="K139" s="4" t="s">
        <v>35</v>
      </c>
      <c r="L139" s="4" t="s">
        <v>36</v>
      </c>
      <c r="M139" s="8">
        <v>44502</v>
      </c>
      <c r="N139" s="34">
        <v>899.97</v>
      </c>
      <c r="O139" s="4">
        <f ca="1">DATEDIF(Table1[[#This Row],[Customer_Since]],TODAY(),"Y")</f>
        <v>4</v>
      </c>
      <c r="P139" s="12">
        <f ca="1">DATEDIF(Table1[[#This Row],[Date]],TODAY(),"M")</f>
        <v>16</v>
      </c>
      <c r="Q139" s="12" t="str">
        <f ca="1">IF(Table1[[#This Row],[Months_Since_Purchase]]&gt;12,"Inactive","Active")</f>
        <v>Inactive</v>
      </c>
      <c r="R139" s="14">
        <f>EOMONTH(Table1[[#This Row],[Date]],0)</f>
        <v>45626</v>
      </c>
      <c r="S139" s="13" t="str">
        <f>IF(Table1[[#This Row],[Total_Amount]]&gt;=700,"High",
 IF(Table1[[#This Row],[Total_Amount]]&gt;=300,"Medium","Low"))</f>
        <v>High</v>
      </c>
      <c r="T139" s="13">
        <f>Table1[[#This Row],[Total_Amount]]*(1-$AC$8)*0.3</f>
        <v>196.33498430380385</v>
      </c>
      <c r="U139" s="13">
        <f t="shared" si="4"/>
        <v>8009.7699999999995</v>
      </c>
      <c r="V139" s="13" t="str">
        <f>IF(Table1[[#This Row],[Customer_Total_Spend]]&gt;5000,"Yes","No")</f>
        <v>Yes</v>
      </c>
      <c r="W139" s="13">
        <f t="shared" si="5"/>
        <v>26</v>
      </c>
    </row>
    <row r="140" spans="1:23" ht="15" thickBot="1" x14ac:dyDescent="0.35">
      <c r="A140" s="3" t="s">
        <v>279</v>
      </c>
      <c r="B140" s="8">
        <v>45603</v>
      </c>
      <c r="C140" s="4" t="s">
        <v>99</v>
      </c>
      <c r="D140" s="4" t="s">
        <v>100</v>
      </c>
      <c r="E140" s="4" t="s">
        <v>117</v>
      </c>
      <c r="F140" s="4" t="s">
        <v>118</v>
      </c>
      <c r="G140" s="4" t="s">
        <v>19</v>
      </c>
      <c r="H140" s="38">
        <v>3</v>
      </c>
      <c r="I140" s="4">
        <v>89.99</v>
      </c>
      <c r="J140" s="4" t="s">
        <v>26</v>
      </c>
      <c r="K140" s="4" t="s">
        <v>40</v>
      </c>
      <c r="L140" s="4" t="s">
        <v>27</v>
      </c>
      <c r="M140" s="8">
        <v>44420</v>
      </c>
      <c r="N140" s="34">
        <v>269.97000000000003</v>
      </c>
      <c r="O140" s="4">
        <f ca="1">DATEDIF(Table1[[#This Row],[Customer_Since]],TODAY(),"Y")</f>
        <v>4</v>
      </c>
      <c r="P140" s="12">
        <f ca="1">DATEDIF(Table1[[#This Row],[Date]],TODAY(),"M")</f>
        <v>15</v>
      </c>
      <c r="Q140" s="12" t="str">
        <f ca="1">IF(Table1[[#This Row],[Months_Since_Purchase]]&gt;12,"Inactive","Active")</f>
        <v>Inactive</v>
      </c>
      <c r="R140" s="14">
        <f>EOMONTH(Table1[[#This Row],[Date]],0)</f>
        <v>45626</v>
      </c>
      <c r="S140" s="13" t="str">
        <f>IF(Table1[[#This Row],[Total_Amount]]&gt;=700,"High",
 IF(Table1[[#This Row],[Total_Amount]]&gt;=300,"Medium","Low"))</f>
        <v>Low</v>
      </c>
      <c r="T140" s="13">
        <f>Table1[[#This Row],[Total_Amount]]*(1-$AC$8)*0.3</f>
        <v>58.895913988797318</v>
      </c>
      <c r="U140" s="13">
        <f t="shared" si="4"/>
        <v>9799.73</v>
      </c>
      <c r="V140" s="13" t="str">
        <f>IF(Table1[[#This Row],[Customer_Total_Spend]]&gt;5000,"Yes","No")</f>
        <v>Yes</v>
      </c>
      <c r="W140" s="13">
        <f t="shared" si="5"/>
        <v>34</v>
      </c>
    </row>
    <row r="141" spans="1:23" ht="15" thickBot="1" x14ac:dyDescent="0.35">
      <c r="A141" s="3" t="s">
        <v>280</v>
      </c>
      <c r="B141" s="8">
        <v>45604</v>
      </c>
      <c r="C141" s="4" t="s">
        <v>89</v>
      </c>
      <c r="D141" s="4" t="s">
        <v>90</v>
      </c>
      <c r="E141" s="4" t="s">
        <v>44</v>
      </c>
      <c r="F141" s="4" t="s">
        <v>45</v>
      </c>
      <c r="G141" s="4" t="s">
        <v>46</v>
      </c>
      <c r="H141" s="38">
        <v>2</v>
      </c>
      <c r="I141" s="4">
        <v>149.99</v>
      </c>
      <c r="J141" s="4" t="s">
        <v>26</v>
      </c>
      <c r="K141" s="4" t="s">
        <v>50</v>
      </c>
      <c r="L141" s="4" t="s">
        <v>27</v>
      </c>
      <c r="M141" s="8">
        <v>44848</v>
      </c>
      <c r="N141" s="34">
        <v>299.98</v>
      </c>
      <c r="O141" s="4">
        <f ca="1">DATEDIF(Table1[[#This Row],[Customer_Since]],TODAY(),"Y")</f>
        <v>3</v>
      </c>
      <c r="P141" s="12">
        <f ca="1">DATEDIF(Table1[[#This Row],[Date]],TODAY(),"M")</f>
        <v>15</v>
      </c>
      <c r="Q141" s="12" t="str">
        <f ca="1">IF(Table1[[#This Row],[Months_Since_Purchase]]&gt;12,"Inactive","Active")</f>
        <v>Inactive</v>
      </c>
      <c r="R141" s="14">
        <f>EOMONTH(Table1[[#This Row],[Date]],0)</f>
        <v>45626</v>
      </c>
      <c r="S141" s="13" t="str">
        <f>IF(Table1[[#This Row],[Total_Amount]]&gt;=700,"High",
 IF(Table1[[#This Row],[Total_Amount]]&gt;=300,"Medium","Low"))</f>
        <v>Low</v>
      </c>
      <c r="T141" s="13">
        <f>Table1[[#This Row],[Total_Amount]]*(1-$AC$8)*0.3</f>
        <v>65.442813195389931</v>
      </c>
      <c r="U141" s="13">
        <f t="shared" si="4"/>
        <v>1909.93</v>
      </c>
      <c r="V141" s="13" t="str">
        <f>IF(Table1[[#This Row],[Customer_Total_Spend]]&gt;5000,"Yes","No")</f>
        <v>No</v>
      </c>
      <c r="W141" s="13">
        <f t="shared" si="5"/>
        <v>35</v>
      </c>
    </row>
    <row r="142" spans="1:23" ht="15" thickBot="1" x14ac:dyDescent="0.35">
      <c r="A142" s="3" t="s">
        <v>281</v>
      </c>
      <c r="B142" s="8">
        <v>45605</v>
      </c>
      <c r="C142" s="4" t="s">
        <v>185</v>
      </c>
      <c r="D142" s="4" t="s">
        <v>186</v>
      </c>
      <c r="E142" s="4" t="s">
        <v>17</v>
      </c>
      <c r="F142" s="4" t="s">
        <v>18</v>
      </c>
      <c r="G142" s="4" t="s">
        <v>19</v>
      </c>
      <c r="H142" s="38">
        <v>1</v>
      </c>
      <c r="I142" s="4">
        <v>249.99</v>
      </c>
      <c r="J142" s="4" t="s">
        <v>26</v>
      </c>
      <c r="K142" s="4" t="s">
        <v>40</v>
      </c>
      <c r="L142" s="4" t="s">
        <v>27</v>
      </c>
      <c r="M142" s="8">
        <v>44828</v>
      </c>
      <c r="N142" s="34">
        <v>249.99</v>
      </c>
      <c r="O142" s="4">
        <f ca="1">DATEDIF(Table1[[#This Row],[Customer_Since]],TODAY(),"Y")</f>
        <v>3</v>
      </c>
      <c r="P142" s="12">
        <f ca="1">DATEDIF(Table1[[#This Row],[Date]],TODAY(),"M")</f>
        <v>15</v>
      </c>
      <c r="Q142" s="12" t="str">
        <f ca="1">IF(Table1[[#This Row],[Months_Since_Purchase]]&gt;12,"Inactive","Active")</f>
        <v>Inactive</v>
      </c>
      <c r="R142" s="14">
        <f>EOMONTH(Table1[[#This Row],[Date]],0)</f>
        <v>45626</v>
      </c>
      <c r="S142" s="13" t="str">
        <f>IF(Table1[[#This Row],[Total_Amount]]&gt;=700,"High",
 IF(Table1[[#This Row],[Total_Amount]]&gt;=300,"Medium","Low"))</f>
        <v>Low</v>
      </c>
      <c r="T142" s="13">
        <f>Table1[[#This Row],[Total_Amount]]*(1-$AC$8)*0.3</f>
        <v>54.537132044521407</v>
      </c>
      <c r="U142" s="13">
        <f t="shared" si="4"/>
        <v>2099.88</v>
      </c>
      <c r="V142" s="13" t="str">
        <f>IF(Table1[[#This Row],[Customer_Total_Spend]]&gt;5000,"Yes","No")</f>
        <v>No</v>
      </c>
      <c r="W142" s="13">
        <f t="shared" si="5"/>
        <v>26</v>
      </c>
    </row>
    <row r="143" spans="1:23" ht="15" thickBot="1" x14ac:dyDescent="0.35">
      <c r="A143" s="3" t="s">
        <v>282</v>
      </c>
      <c r="B143" s="8">
        <v>45607</v>
      </c>
      <c r="C143" s="4" t="s">
        <v>72</v>
      </c>
      <c r="D143" s="4" t="s">
        <v>73</v>
      </c>
      <c r="E143" s="4" t="s">
        <v>52</v>
      </c>
      <c r="F143" s="4" t="s">
        <v>53</v>
      </c>
      <c r="G143" s="4" t="s">
        <v>19</v>
      </c>
      <c r="H143" s="38">
        <v>3</v>
      </c>
      <c r="I143" s="4">
        <v>149.99</v>
      </c>
      <c r="J143" s="4" t="s">
        <v>20</v>
      </c>
      <c r="K143" s="4" t="s">
        <v>40</v>
      </c>
      <c r="L143" s="4" t="s">
        <v>22</v>
      </c>
      <c r="M143" s="8">
        <v>44769</v>
      </c>
      <c r="N143" s="34">
        <v>449.97</v>
      </c>
      <c r="O143" s="4">
        <f ca="1">DATEDIF(Table1[[#This Row],[Customer_Since]],TODAY(),"Y")</f>
        <v>3</v>
      </c>
      <c r="P143" s="12">
        <f ca="1">DATEDIF(Table1[[#This Row],[Date]],TODAY(),"M")</f>
        <v>15</v>
      </c>
      <c r="Q143" s="12" t="str">
        <f ca="1">IF(Table1[[#This Row],[Months_Since_Purchase]]&gt;12,"Inactive","Active")</f>
        <v>Inactive</v>
      </c>
      <c r="R143" s="14">
        <f>EOMONTH(Table1[[#This Row],[Date]],0)</f>
        <v>45626</v>
      </c>
      <c r="S143" s="13" t="str">
        <f>IF(Table1[[#This Row],[Total_Amount]]&gt;=700,"High",
 IF(Table1[[#This Row],[Total_Amount]]&gt;=300,"Medium","Low"))</f>
        <v>Medium</v>
      </c>
      <c r="T143" s="13">
        <f>Table1[[#This Row],[Total_Amount]]*(1-$AC$8)*0.3</f>
        <v>98.164219793084911</v>
      </c>
      <c r="U143" s="13">
        <f t="shared" si="4"/>
        <v>5949.85</v>
      </c>
      <c r="V143" s="13" t="str">
        <f>IF(Table1[[#This Row],[Customer_Total_Spend]]&gt;5000,"Yes","No")</f>
        <v>Yes</v>
      </c>
      <c r="W143" s="13">
        <f t="shared" si="5"/>
        <v>16</v>
      </c>
    </row>
    <row r="144" spans="1:23" ht="15" thickBot="1" x14ac:dyDescent="0.35">
      <c r="A144" s="3" t="s">
        <v>283</v>
      </c>
      <c r="B144" s="8">
        <v>45607</v>
      </c>
      <c r="C144" s="4" t="s">
        <v>15</v>
      </c>
      <c r="D144" s="4" t="s">
        <v>16</v>
      </c>
      <c r="E144" s="4" t="s">
        <v>31</v>
      </c>
      <c r="F144" s="4" t="s">
        <v>32</v>
      </c>
      <c r="G144" s="4" t="s">
        <v>33</v>
      </c>
      <c r="H144" s="38">
        <v>5</v>
      </c>
      <c r="I144" s="4">
        <v>59.99</v>
      </c>
      <c r="J144" s="4" t="s">
        <v>34</v>
      </c>
      <c r="K144" s="4" t="s">
        <v>50</v>
      </c>
      <c r="L144" s="4" t="s">
        <v>27</v>
      </c>
      <c r="M144" s="8">
        <v>44694</v>
      </c>
      <c r="N144" s="34">
        <v>299.95</v>
      </c>
      <c r="O144" s="4">
        <f ca="1">DATEDIF(Table1[[#This Row],[Customer_Since]],TODAY(),"Y")</f>
        <v>3</v>
      </c>
      <c r="P144" s="12">
        <f ca="1">DATEDIF(Table1[[#This Row],[Date]],TODAY(),"M")</f>
        <v>15</v>
      </c>
      <c r="Q144" s="12" t="str">
        <f ca="1">IF(Table1[[#This Row],[Months_Since_Purchase]]&gt;12,"Inactive","Active")</f>
        <v>Inactive</v>
      </c>
      <c r="R144" s="14">
        <f>EOMONTH(Table1[[#This Row],[Date]],0)</f>
        <v>45626</v>
      </c>
      <c r="S144" s="13" t="str">
        <f>IF(Table1[[#This Row],[Total_Amount]]&gt;=700,"High",
 IF(Table1[[#This Row],[Total_Amount]]&gt;=300,"Medium","Low"))</f>
        <v>Low</v>
      </c>
      <c r="T144" s="13">
        <f>Table1[[#This Row],[Total_Amount]]*(1-$AC$8)*0.3</f>
        <v>65.436268477755888</v>
      </c>
      <c r="U144" s="13">
        <f t="shared" si="4"/>
        <v>8309.739999999998</v>
      </c>
      <c r="V144" s="13" t="str">
        <f>IF(Table1[[#This Row],[Customer_Total_Spend]]&gt;5000,"Yes","No")</f>
        <v>Yes</v>
      </c>
      <c r="W144" s="13">
        <f t="shared" si="5"/>
        <v>29</v>
      </c>
    </row>
    <row r="145" spans="1:23" ht="15" thickBot="1" x14ac:dyDescent="0.35">
      <c r="A145" s="3" t="s">
        <v>284</v>
      </c>
      <c r="B145" s="8">
        <v>45607</v>
      </c>
      <c r="C145" s="4" t="s">
        <v>99</v>
      </c>
      <c r="D145" s="4" t="s">
        <v>100</v>
      </c>
      <c r="E145" s="4" t="s">
        <v>17</v>
      </c>
      <c r="F145" s="4" t="s">
        <v>18</v>
      </c>
      <c r="G145" s="4" t="s">
        <v>19</v>
      </c>
      <c r="H145" s="38">
        <v>4</v>
      </c>
      <c r="I145" s="4">
        <v>249.99</v>
      </c>
      <c r="J145" s="4" t="s">
        <v>26</v>
      </c>
      <c r="K145" s="4" t="s">
        <v>50</v>
      </c>
      <c r="L145" s="4" t="s">
        <v>36</v>
      </c>
      <c r="M145" s="8">
        <v>44659</v>
      </c>
      <c r="N145" s="34">
        <v>999.96</v>
      </c>
      <c r="O145" s="4">
        <f ca="1">DATEDIF(Table1[[#This Row],[Customer_Since]],TODAY(),"Y")</f>
        <v>3</v>
      </c>
      <c r="P145" s="12">
        <f ca="1">DATEDIF(Table1[[#This Row],[Date]],TODAY(),"M")</f>
        <v>15</v>
      </c>
      <c r="Q145" s="12" t="str">
        <f ca="1">IF(Table1[[#This Row],[Months_Since_Purchase]]&gt;12,"Inactive","Active")</f>
        <v>Inactive</v>
      </c>
      <c r="R145" s="14">
        <f>EOMONTH(Table1[[#This Row],[Date]],0)</f>
        <v>45626</v>
      </c>
      <c r="S145" s="13" t="str">
        <f>IF(Table1[[#This Row],[Total_Amount]]&gt;=700,"High",
 IF(Table1[[#This Row],[Total_Amount]]&gt;=300,"Medium","Low"))</f>
        <v>High</v>
      </c>
      <c r="T145" s="13">
        <f>Table1[[#This Row],[Total_Amount]]*(1-$AC$8)*0.3</f>
        <v>218.14852817808563</v>
      </c>
      <c r="U145" s="13">
        <f t="shared" si="4"/>
        <v>9799.73</v>
      </c>
      <c r="V145" s="13" t="str">
        <f>IF(Table1[[#This Row],[Customer_Total_Spend]]&gt;5000,"Yes","No")</f>
        <v>Yes</v>
      </c>
      <c r="W145" s="13">
        <f t="shared" si="5"/>
        <v>26</v>
      </c>
    </row>
    <row r="146" spans="1:23" ht="15" thickBot="1" x14ac:dyDescent="0.35">
      <c r="A146" s="3" t="s">
        <v>285</v>
      </c>
      <c r="B146" s="8">
        <v>45608</v>
      </c>
      <c r="C146" s="4" t="s">
        <v>154</v>
      </c>
      <c r="D146" s="4" t="s">
        <v>155</v>
      </c>
      <c r="E146" s="4" t="s">
        <v>44</v>
      </c>
      <c r="F146" s="4" t="s">
        <v>45</v>
      </c>
      <c r="G146" s="4" t="s">
        <v>46</v>
      </c>
      <c r="H146" s="38">
        <v>5</v>
      </c>
      <c r="I146" s="4">
        <v>149.99</v>
      </c>
      <c r="J146" s="4" t="s">
        <v>34</v>
      </c>
      <c r="K146" s="4" t="s">
        <v>21</v>
      </c>
      <c r="L146" s="4" t="s">
        <v>22</v>
      </c>
      <c r="M146" s="8">
        <v>44901</v>
      </c>
      <c r="N146" s="34">
        <v>749.95</v>
      </c>
      <c r="O146" s="4">
        <f ca="1">DATEDIF(Table1[[#This Row],[Customer_Since]],TODAY(),"Y")</f>
        <v>3</v>
      </c>
      <c r="P146" s="12">
        <f ca="1">DATEDIF(Table1[[#This Row],[Date]],TODAY(),"M")</f>
        <v>15</v>
      </c>
      <c r="Q146" s="12" t="str">
        <f ca="1">IF(Table1[[#This Row],[Months_Since_Purchase]]&gt;12,"Inactive","Active")</f>
        <v>Inactive</v>
      </c>
      <c r="R146" s="14">
        <f>EOMONTH(Table1[[#This Row],[Date]],0)</f>
        <v>45626</v>
      </c>
      <c r="S146" s="13" t="str">
        <f>IF(Table1[[#This Row],[Total_Amount]]&gt;=700,"High",
 IF(Table1[[#This Row],[Total_Amount]]&gt;=300,"Medium","Low"))</f>
        <v>High</v>
      </c>
      <c r="T146" s="13">
        <f>Table1[[#This Row],[Total_Amount]]*(1-$AC$8)*0.3</f>
        <v>163.60703298847483</v>
      </c>
      <c r="U146" s="13">
        <f t="shared" si="4"/>
        <v>5499.8099999999995</v>
      </c>
      <c r="V146" s="13" t="str">
        <f>IF(Table1[[#This Row],[Customer_Total_Spend]]&gt;5000,"Yes","No")</f>
        <v>Yes</v>
      </c>
      <c r="W146" s="13">
        <f t="shared" si="5"/>
        <v>35</v>
      </c>
    </row>
    <row r="147" spans="1:23" ht="15" thickBot="1" x14ac:dyDescent="0.35">
      <c r="A147" s="3" t="s">
        <v>286</v>
      </c>
      <c r="B147" s="8">
        <v>45608</v>
      </c>
      <c r="C147" s="4" t="s">
        <v>83</v>
      </c>
      <c r="D147" s="4" t="s">
        <v>84</v>
      </c>
      <c r="E147" s="4" t="s">
        <v>31</v>
      </c>
      <c r="F147" s="4" t="s">
        <v>32</v>
      </c>
      <c r="G147" s="4" t="s">
        <v>33</v>
      </c>
      <c r="H147" s="38">
        <v>3</v>
      </c>
      <c r="I147" s="4">
        <v>59.99</v>
      </c>
      <c r="J147" s="4" t="s">
        <v>57</v>
      </c>
      <c r="K147" s="4" t="s">
        <v>35</v>
      </c>
      <c r="L147" s="4" t="s">
        <v>36</v>
      </c>
      <c r="M147" s="8">
        <v>45260</v>
      </c>
      <c r="N147" s="34">
        <v>179.97</v>
      </c>
      <c r="O147" s="4">
        <f ca="1">DATEDIF(Table1[[#This Row],[Customer_Since]],TODAY(),"Y")</f>
        <v>2</v>
      </c>
      <c r="P147" s="12">
        <f ca="1">DATEDIF(Table1[[#This Row],[Date]],TODAY(),"M")</f>
        <v>15</v>
      </c>
      <c r="Q147" s="12" t="str">
        <f ca="1">IF(Table1[[#This Row],[Months_Since_Purchase]]&gt;12,"Inactive","Active")</f>
        <v>Inactive</v>
      </c>
      <c r="R147" s="14">
        <f>EOMONTH(Table1[[#This Row],[Date]],0)</f>
        <v>45626</v>
      </c>
      <c r="S147" s="13" t="str">
        <f>IF(Table1[[#This Row],[Total_Amount]]&gt;=700,"High",
 IF(Table1[[#This Row],[Total_Amount]]&gt;=300,"Medium","Low"))</f>
        <v>Low</v>
      </c>
      <c r="T147" s="13">
        <f>Table1[[#This Row],[Total_Amount]]*(1-$AC$8)*0.3</f>
        <v>39.261761086653529</v>
      </c>
      <c r="U147" s="13">
        <f t="shared" si="4"/>
        <v>3779.93</v>
      </c>
      <c r="V147" s="13" t="str">
        <f>IF(Table1[[#This Row],[Customer_Total_Spend]]&gt;5000,"Yes","No")</f>
        <v>No</v>
      </c>
      <c r="W147" s="13">
        <f t="shared" si="5"/>
        <v>29</v>
      </c>
    </row>
    <row r="148" spans="1:23" ht="15" thickBot="1" x14ac:dyDescent="0.35">
      <c r="A148" s="3" t="s">
        <v>287</v>
      </c>
      <c r="B148" s="8">
        <v>45613</v>
      </c>
      <c r="C148" s="4" t="s">
        <v>234</v>
      </c>
      <c r="D148" s="4" t="s">
        <v>235</v>
      </c>
      <c r="E148" s="4" t="s">
        <v>44</v>
      </c>
      <c r="F148" s="4" t="s">
        <v>45</v>
      </c>
      <c r="G148" s="4" t="s">
        <v>46</v>
      </c>
      <c r="H148" s="38">
        <v>5</v>
      </c>
      <c r="I148" s="4">
        <v>149.99</v>
      </c>
      <c r="J148" s="4" t="s">
        <v>20</v>
      </c>
      <c r="K148" s="4" t="s">
        <v>40</v>
      </c>
      <c r="L148" s="4" t="s">
        <v>22</v>
      </c>
      <c r="M148" s="8">
        <v>44869</v>
      </c>
      <c r="N148" s="34">
        <v>749.95</v>
      </c>
      <c r="O148" s="4">
        <f ca="1">DATEDIF(Table1[[#This Row],[Customer_Since]],TODAY(),"Y")</f>
        <v>3</v>
      </c>
      <c r="P148" s="12">
        <f ca="1">DATEDIF(Table1[[#This Row],[Date]],TODAY(),"M")</f>
        <v>15</v>
      </c>
      <c r="Q148" s="12" t="str">
        <f ca="1">IF(Table1[[#This Row],[Months_Since_Purchase]]&gt;12,"Inactive","Active")</f>
        <v>Inactive</v>
      </c>
      <c r="R148" s="14">
        <f>EOMONTH(Table1[[#This Row],[Date]],0)</f>
        <v>45626</v>
      </c>
      <c r="S148" s="13" t="str">
        <f>IF(Table1[[#This Row],[Total_Amount]]&gt;=700,"High",
 IF(Table1[[#This Row],[Total_Amount]]&gt;=300,"Medium","Low"))</f>
        <v>High</v>
      </c>
      <c r="T148" s="13">
        <f>Table1[[#This Row],[Total_Amount]]*(1-$AC$8)*0.3</f>
        <v>163.60703298847483</v>
      </c>
      <c r="U148" s="13">
        <f t="shared" si="4"/>
        <v>6349.83</v>
      </c>
      <c r="V148" s="13" t="str">
        <f>IF(Table1[[#This Row],[Customer_Total_Spend]]&gt;5000,"Yes","No")</f>
        <v>Yes</v>
      </c>
      <c r="W148" s="13">
        <f t="shared" si="5"/>
        <v>35</v>
      </c>
    </row>
    <row r="149" spans="1:23" ht="15" thickBot="1" x14ac:dyDescent="0.35">
      <c r="A149" s="3" t="s">
        <v>288</v>
      </c>
      <c r="B149" s="8">
        <v>45613</v>
      </c>
      <c r="C149" s="4" t="s">
        <v>86</v>
      </c>
      <c r="D149" s="4" t="s">
        <v>87</v>
      </c>
      <c r="E149" s="4" t="s">
        <v>80</v>
      </c>
      <c r="F149" s="4" t="s">
        <v>81</v>
      </c>
      <c r="G149" s="4" t="s">
        <v>19</v>
      </c>
      <c r="H149" s="38">
        <v>2</v>
      </c>
      <c r="I149" s="4">
        <v>699.99</v>
      </c>
      <c r="J149" s="4" t="s">
        <v>34</v>
      </c>
      <c r="K149" s="4" t="s">
        <v>50</v>
      </c>
      <c r="L149" s="4" t="s">
        <v>36</v>
      </c>
      <c r="M149" s="8">
        <v>44770</v>
      </c>
      <c r="N149" s="34">
        <v>1399.98</v>
      </c>
      <c r="O149" s="4">
        <f ca="1">DATEDIF(Table1[[#This Row],[Customer_Since]],TODAY(),"Y")</f>
        <v>3</v>
      </c>
      <c r="P149" s="12">
        <f ca="1">DATEDIF(Table1[[#This Row],[Date]],TODAY(),"M")</f>
        <v>15</v>
      </c>
      <c r="Q149" s="12" t="str">
        <f ca="1">IF(Table1[[#This Row],[Months_Since_Purchase]]&gt;12,"Inactive","Active")</f>
        <v>Inactive</v>
      </c>
      <c r="R149" s="14">
        <f>EOMONTH(Table1[[#This Row],[Date]],0)</f>
        <v>45626</v>
      </c>
      <c r="S149" s="13" t="str">
        <f>IF(Table1[[#This Row],[Total_Amount]]&gt;=700,"High",
 IF(Table1[[#This Row],[Total_Amount]]&gt;=300,"Medium","Low"))</f>
        <v>High</v>
      </c>
      <c r="T149" s="13">
        <f>Table1[[#This Row],[Total_Amount]]*(1-$AC$8)*0.3</f>
        <v>305.41579311048065</v>
      </c>
      <c r="U149" s="13">
        <f t="shared" si="4"/>
        <v>15659.65</v>
      </c>
      <c r="V149" s="13" t="str">
        <f>IF(Table1[[#This Row],[Customer_Total_Spend]]&gt;5000,"Yes","No")</f>
        <v>Yes</v>
      </c>
      <c r="W149" s="13">
        <f t="shared" si="5"/>
        <v>31</v>
      </c>
    </row>
    <row r="150" spans="1:23" ht="15" thickBot="1" x14ac:dyDescent="0.35">
      <c r="A150" s="3" t="s">
        <v>289</v>
      </c>
      <c r="B150" s="8">
        <v>45617</v>
      </c>
      <c r="C150" s="4" t="s">
        <v>123</v>
      </c>
      <c r="D150" s="4" t="s">
        <v>124</v>
      </c>
      <c r="E150" s="4" t="s">
        <v>126</v>
      </c>
      <c r="F150" s="4" t="s">
        <v>127</v>
      </c>
      <c r="G150" s="4" t="s">
        <v>46</v>
      </c>
      <c r="H150" s="38">
        <v>4</v>
      </c>
      <c r="I150" s="4">
        <v>199.99</v>
      </c>
      <c r="J150" s="4" t="s">
        <v>57</v>
      </c>
      <c r="K150" s="4" t="s">
        <v>21</v>
      </c>
      <c r="L150" s="4" t="s">
        <v>27</v>
      </c>
      <c r="M150" s="8">
        <v>44427</v>
      </c>
      <c r="N150" s="34">
        <v>799.96</v>
      </c>
      <c r="O150" s="4">
        <f ca="1">DATEDIF(Table1[[#This Row],[Customer_Since]],TODAY(),"Y")</f>
        <v>4</v>
      </c>
      <c r="P150" s="12">
        <f ca="1">DATEDIF(Table1[[#This Row],[Date]],TODAY(),"M")</f>
        <v>15</v>
      </c>
      <c r="Q150" s="12" t="str">
        <f ca="1">IF(Table1[[#This Row],[Months_Since_Purchase]]&gt;12,"Inactive","Active")</f>
        <v>Inactive</v>
      </c>
      <c r="R150" s="14">
        <f>EOMONTH(Table1[[#This Row],[Date]],0)</f>
        <v>45626</v>
      </c>
      <c r="S150" s="13" t="str">
        <f>IF(Table1[[#This Row],[Total_Amount]]&gt;=700,"High",
 IF(Table1[[#This Row],[Total_Amount]]&gt;=300,"Medium","Low"))</f>
        <v>High</v>
      </c>
      <c r="T150" s="13">
        <f>Table1[[#This Row],[Total_Amount]]*(1-$AC$8)*0.3</f>
        <v>174.51707728443276</v>
      </c>
      <c r="U150" s="13">
        <f t="shared" si="4"/>
        <v>11919.769999999999</v>
      </c>
      <c r="V150" s="13" t="str">
        <f>IF(Table1[[#This Row],[Customer_Total_Spend]]&gt;5000,"Yes","No")</f>
        <v>Yes</v>
      </c>
      <c r="W150" s="13">
        <f t="shared" si="5"/>
        <v>15</v>
      </c>
    </row>
    <row r="151" spans="1:23" ht="15" thickBot="1" x14ac:dyDescent="0.35">
      <c r="A151" s="3" t="s">
        <v>290</v>
      </c>
      <c r="B151" s="8">
        <v>45619</v>
      </c>
      <c r="C151" s="4" t="s">
        <v>192</v>
      </c>
      <c r="D151" s="4" t="s">
        <v>193</v>
      </c>
      <c r="E151" s="4" t="s">
        <v>31</v>
      </c>
      <c r="F151" s="4" t="s">
        <v>32</v>
      </c>
      <c r="G151" s="4" t="s">
        <v>33</v>
      </c>
      <c r="H151" s="38">
        <v>1</v>
      </c>
      <c r="I151" s="4">
        <v>59.99</v>
      </c>
      <c r="J151" s="4" t="s">
        <v>57</v>
      </c>
      <c r="K151" s="4" t="s">
        <v>50</v>
      </c>
      <c r="L151" s="4" t="s">
        <v>36</v>
      </c>
      <c r="M151" s="8">
        <v>44560</v>
      </c>
      <c r="N151" s="34">
        <v>59.99</v>
      </c>
      <c r="O151" s="4">
        <f ca="1">DATEDIF(Table1[[#This Row],[Customer_Since]],TODAY(),"Y")</f>
        <v>4</v>
      </c>
      <c r="P151" s="12">
        <f ca="1">DATEDIF(Table1[[#This Row],[Date]],TODAY(),"M")</f>
        <v>15</v>
      </c>
      <c r="Q151" s="12" t="str">
        <f ca="1">IF(Table1[[#This Row],[Months_Since_Purchase]]&gt;12,"Inactive","Active")</f>
        <v>Inactive</v>
      </c>
      <c r="R151" s="14">
        <f>EOMONTH(Table1[[#This Row],[Date]],0)</f>
        <v>45626</v>
      </c>
      <c r="S151" s="13" t="str">
        <f>IF(Table1[[#This Row],[Total_Amount]]&gt;=700,"High",
 IF(Table1[[#This Row],[Total_Amount]]&gt;=300,"Medium","Low"))</f>
        <v>Low</v>
      </c>
      <c r="T151" s="13">
        <f>Table1[[#This Row],[Total_Amount]]*(1-$AC$8)*0.3</f>
        <v>13.087253695551178</v>
      </c>
      <c r="U151" s="13">
        <f t="shared" si="4"/>
        <v>1479.91</v>
      </c>
      <c r="V151" s="13" t="str">
        <f>IF(Table1[[#This Row],[Customer_Total_Spend]]&gt;5000,"Yes","No")</f>
        <v>No</v>
      </c>
      <c r="W151" s="13">
        <f t="shared" si="5"/>
        <v>29</v>
      </c>
    </row>
    <row r="152" spans="1:23" ht="15" thickBot="1" x14ac:dyDescent="0.35">
      <c r="A152" s="3" t="s">
        <v>291</v>
      </c>
      <c r="B152" s="8">
        <v>45619</v>
      </c>
      <c r="C152" s="4" t="s">
        <v>154</v>
      </c>
      <c r="D152" s="4" t="s">
        <v>155</v>
      </c>
      <c r="E152" s="4" t="s">
        <v>80</v>
      </c>
      <c r="F152" s="4" t="s">
        <v>81</v>
      </c>
      <c r="G152" s="4" t="s">
        <v>19</v>
      </c>
      <c r="H152" s="38">
        <v>3</v>
      </c>
      <c r="I152" s="4">
        <v>699.99</v>
      </c>
      <c r="J152" s="4" t="s">
        <v>34</v>
      </c>
      <c r="K152" s="4" t="s">
        <v>50</v>
      </c>
      <c r="L152" s="4" t="s">
        <v>36</v>
      </c>
      <c r="M152" s="8">
        <v>44583</v>
      </c>
      <c r="N152" s="34">
        <v>2099.9699999999998</v>
      </c>
      <c r="O152" s="4">
        <f ca="1">DATEDIF(Table1[[#This Row],[Customer_Since]],TODAY(),"Y")</f>
        <v>4</v>
      </c>
      <c r="P152" s="12">
        <f ca="1">DATEDIF(Table1[[#This Row],[Date]],TODAY(),"M")</f>
        <v>15</v>
      </c>
      <c r="Q152" s="12" t="str">
        <f ca="1">IF(Table1[[#This Row],[Months_Since_Purchase]]&gt;12,"Inactive","Active")</f>
        <v>Inactive</v>
      </c>
      <c r="R152" s="14">
        <f>EOMONTH(Table1[[#This Row],[Date]],0)</f>
        <v>45626</v>
      </c>
      <c r="S152" s="13" t="str">
        <f>IF(Table1[[#This Row],[Total_Amount]]&gt;=700,"High",
 IF(Table1[[#This Row],[Total_Amount]]&gt;=300,"Medium","Low"))</f>
        <v>High</v>
      </c>
      <c r="T152" s="13">
        <f>Table1[[#This Row],[Total_Amount]]*(1-$AC$8)*0.3</f>
        <v>458.12368966572097</v>
      </c>
      <c r="U152" s="13">
        <f t="shared" si="4"/>
        <v>5499.8099999999995</v>
      </c>
      <c r="V152" s="13" t="str">
        <f>IF(Table1[[#This Row],[Customer_Total_Spend]]&gt;5000,"Yes","No")</f>
        <v>Yes</v>
      </c>
      <c r="W152" s="13">
        <f t="shared" si="5"/>
        <v>31</v>
      </c>
    </row>
    <row r="153" spans="1:23" ht="15" thickBot="1" x14ac:dyDescent="0.35">
      <c r="A153" s="3" t="s">
        <v>292</v>
      </c>
      <c r="B153" s="8">
        <v>45622</v>
      </c>
      <c r="C153" s="4" t="s">
        <v>293</v>
      </c>
      <c r="D153" s="4" t="s">
        <v>294</v>
      </c>
      <c r="E153" s="4" t="s">
        <v>17</v>
      </c>
      <c r="F153" s="4" t="s">
        <v>18</v>
      </c>
      <c r="G153" s="4" t="s">
        <v>19</v>
      </c>
      <c r="H153" s="38">
        <v>5</v>
      </c>
      <c r="I153" s="4">
        <v>249.99</v>
      </c>
      <c r="J153" s="4" t="s">
        <v>26</v>
      </c>
      <c r="K153" s="4" t="s">
        <v>40</v>
      </c>
      <c r="L153" s="4" t="s">
        <v>22</v>
      </c>
      <c r="M153" s="8">
        <v>44873</v>
      </c>
      <c r="N153" s="34">
        <v>1249.95</v>
      </c>
      <c r="O153" s="4">
        <f ca="1">DATEDIF(Table1[[#This Row],[Customer_Since]],TODAY(),"Y")</f>
        <v>3</v>
      </c>
      <c r="P153" s="12">
        <f ca="1">DATEDIF(Table1[[#This Row],[Date]],TODAY(),"M")</f>
        <v>15</v>
      </c>
      <c r="Q153" s="12" t="str">
        <f ca="1">IF(Table1[[#This Row],[Months_Since_Purchase]]&gt;12,"Inactive","Active")</f>
        <v>Inactive</v>
      </c>
      <c r="R153" s="14">
        <f>EOMONTH(Table1[[#This Row],[Date]],0)</f>
        <v>45626</v>
      </c>
      <c r="S153" s="13" t="str">
        <f>IF(Table1[[#This Row],[Total_Amount]]&gt;=700,"High",
 IF(Table1[[#This Row],[Total_Amount]]&gt;=300,"Medium","Low"))</f>
        <v>High</v>
      </c>
      <c r="T153" s="13">
        <f>Table1[[#This Row],[Total_Amount]]*(1-$AC$8)*0.3</f>
        <v>272.685660222607</v>
      </c>
      <c r="U153" s="13">
        <f t="shared" si="4"/>
        <v>4829.8899999999994</v>
      </c>
      <c r="V153" s="13" t="str">
        <f>IF(Table1[[#This Row],[Customer_Total_Spend]]&gt;5000,"Yes","No")</f>
        <v>No</v>
      </c>
      <c r="W153" s="13">
        <f t="shared" si="5"/>
        <v>26</v>
      </c>
    </row>
    <row r="154" spans="1:23" ht="15" thickBot="1" x14ac:dyDescent="0.35">
      <c r="A154" s="3" t="s">
        <v>295</v>
      </c>
      <c r="B154" s="8">
        <v>45623</v>
      </c>
      <c r="C154" s="4" t="s">
        <v>112</v>
      </c>
      <c r="D154" s="4" t="s">
        <v>113</v>
      </c>
      <c r="E154" s="4" t="s">
        <v>44</v>
      </c>
      <c r="F154" s="4" t="s">
        <v>45</v>
      </c>
      <c r="G154" s="4" t="s">
        <v>46</v>
      </c>
      <c r="H154" s="38">
        <v>2</v>
      </c>
      <c r="I154" s="4">
        <v>149.99</v>
      </c>
      <c r="J154" s="4" t="s">
        <v>20</v>
      </c>
      <c r="K154" s="4" t="s">
        <v>35</v>
      </c>
      <c r="L154" s="4" t="s">
        <v>36</v>
      </c>
      <c r="M154" s="8">
        <v>45101</v>
      </c>
      <c r="N154" s="34">
        <v>299.98</v>
      </c>
      <c r="O154" s="4">
        <f ca="1">DATEDIF(Table1[[#This Row],[Customer_Since]],TODAY(),"Y")</f>
        <v>2</v>
      </c>
      <c r="P154" s="12">
        <f ca="1">DATEDIF(Table1[[#This Row],[Date]],TODAY(),"M")</f>
        <v>15</v>
      </c>
      <c r="Q154" s="12" t="str">
        <f ca="1">IF(Table1[[#This Row],[Months_Since_Purchase]]&gt;12,"Inactive","Active")</f>
        <v>Inactive</v>
      </c>
      <c r="R154" s="14">
        <f>EOMONTH(Table1[[#This Row],[Date]],0)</f>
        <v>45626</v>
      </c>
      <c r="S154" s="13" t="str">
        <f>IF(Table1[[#This Row],[Total_Amount]]&gt;=700,"High",
 IF(Table1[[#This Row],[Total_Amount]]&gt;=300,"Medium","Low"))</f>
        <v>Low</v>
      </c>
      <c r="T154" s="13">
        <f>Table1[[#This Row],[Total_Amount]]*(1-$AC$8)*0.3</f>
        <v>65.442813195389931</v>
      </c>
      <c r="U154" s="13">
        <f t="shared" si="4"/>
        <v>1289.9000000000001</v>
      </c>
      <c r="V154" s="13" t="str">
        <f>IF(Table1[[#This Row],[Customer_Total_Spend]]&gt;5000,"Yes","No")</f>
        <v>No</v>
      </c>
      <c r="W154" s="13">
        <f t="shared" si="5"/>
        <v>35</v>
      </c>
    </row>
    <row r="155" spans="1:23" ht="15" thickBot="1" x14ac:dyDescent="0.35">
      <c r="A155" s="3" t="s">
        <v>296</v>
      </c>
      <c r="B155" s="8">
        <v>45627</v>
      </c>
      <c r="C155" s="4" t="s">
        <v>29</v>
      </c>
      <c r="D155" s="4" t="s">
        <v>30</v>
      </c>
      <c r="E155" s="4" t="s">
        <v>105</v>
      </c>
      <c r="F155" s="4" t="s">
        <v>106</v>
      </c>
      <c r="G155" s="4" t="s">
        <v>46</v>
      </c>
      <c r="H155" s="38">
        <v>3</v>
      </c>
      <c r="I155" s="4">
        <v>299.99</v>
      </c>
      <c r="J155" s="4" t="s">
        <v>20</v>
      </c>
      <c r="K155" s="4" t="s">
        <v>35</v>
      </c>
      <c r="L155" s="4" t="s">
        <v>27</v>
      </c>
      <c r="M155" s="8">
        <v>44659</v>
      </c>
      <c r="N155" s="34">
        <v>899.97</v>
      </c>
      <c r="O155" s="4">
        <f ca="1">DATEDIF(Table1[[#This Row],[Customer_Since]],TODAY(),"Y")</f>
        <v>3</v>
      </c>
      <c r="P155" s="12">
        <f ca="1">DATEDIF(Table1[[#This Row],[Date]],TODAY(),"M")</f>
        <v>15</v>
      </c>
      <c r="Q155" s="12" t="str">
        <f ca="1">IF(Table1[[#This Row],[Months_Since_Purchase]]&gt;12,"Inactive","Active")</f>
        <v>Inactive</v>
      </c>
      <c r="R155" s="14">
        <f>EOMONTH(Table1[[#This Row],[Date]],0)</f>
        <v>45657</v>
      </c>
      <c r="S155" s="13" t="str">
        <f>IF(Table1[[#This Row],[Total_Amount]]&gt;=700,"High",
 IF(Table1[[#This Row],[Total_Amount]]&gt;=300,"Medium","Low"))</f>
        <v>High</v>
      </c>
      <c r="T155" s="13">
        <f>Table1[[#This Row],[Total_Amount]]*(1-$AC$8)*0.3</f>
        <v>196.33498430380385</v>
      </c>
      <c r="U155" s="13">
        <f t="shared" si="4"/>
        <v>3259.87</v>
      </c>
      <c r="V155" s="13" t="str">
        <f>IF(Table1[[#This Row],[Customer_Total_Spend]]&gt;5000,"Yes","No")</f>
        <v>No</v>
      </c>
      <c r="W155" s="13">
        <f t="shared" si="5"/>
        <v>26</v>
      </c>
    </row>
    <row r="156" spans="1:23" ht="15" thickBot="1" x14ac:dyDescent="0.35">
      <c r="A156" s="3" t="s">
        <v>297</v>
      </c>
      <c r="B156" s="8">
        <v>45627</v>
      </c>
      <c r="C156" s="4" t="s">
        <v>55</v>
      </c>
      <c r="D156" s="4" t="s">
        <v>56</v>
      </c>
      <c r="E156" s="4" t="s">
        <v>17</v>
      </c>
      <c r="F156" s="4" t="s">
        <v>18</v>
      </c>
      <c r="G156" s="4" t="s">
        <v>19</v>
      </c>
      <c r="H156" s="38">
        <v>5</v>
      </c>
      <c r="I156" s="4">
        <v>249.99</v>
      </c>
      <c r="J156" s="4" t="s">
        <v>20</v>
      </c>
      <c r="K156" s="4" t="s">
        <v>21</v>
      </c>
      <c r="L156" s="4" t="s">
        <v>27</v>
      </c>
      <c r="M156" s="8">
        <v>44485</v>
      </c>
      <c r="N156" s="34">
        <v>1249.95</v>
      </c>
      <c r="O156" s="4">
        <f ca="1">DATEDIF(Table1[[#This Row],[Customer_Since]],TODAY(),"Y")</f>
        <v>4</v>
      </c>
      <c r="P156" s="12">
        <f ca="1">DATEDIF(Table1[[#This Row],[Date]],TODAY(),"M")</f>
        <v>15</v>
      </c>
      <c r="Q156" s="12" t="str">
        <f ca="1">IF(Table1[[#This Row],[Months_Since_Purchase]]&gt;12,"Inactive","Active")</f>
        <v>Inactive</v>
      </c>
      <c r="R156" s="14">
        <f>EOMONTH(Table1[[#This Row],[Date]],0)</f>
        <v>45657</v>
      </c>
      <c r="S156" s="13" t="str">
        <f>IF(Table1[[#This Row],[Total_Amount]]&gt;=700,"High",
 IF(Table1[[#This Row],[Total_Amount]]&gt;=300,"Medium","Low"))</f>
        <v>High</v>
      </c>
      <c r="T156" s="13">
        <f>Table1[[#This Row],[Total_Amount]]*(1-$AC$8)*0.3</f>
        <v>272.685660222607</v>
      </c>
      <c r="U156" s="13">
        <f t="shared" si="4"/>
        <v>5089.7300000000005</v>
      </c>
      <c r="V156" s="13" t="str">
        <f>IF(Table1[[#This Row],[Customer_Total_Spend]]&gt;5000,"Yes","No")</f>
        <v>Yes</v>
      </c>
      <c r="W156" s="13">
        <f t="shared" si="5"/>
        <v>26</v>
      </c>
    </row>
    <row r="157" spans="1:23" ht="15" thickBot="1" x14ac:dyDescent="0.35">
      <c r="A157" s="3" t="s">
        <v>298</v>
      </c>
      <c r="B157" s="8">
        <v>45627</v>
      </c>
      <c r="C157" s="4" t="s">
        <v>24</v>
      </c>
      <c r="D157" s="4" t="s">
        <v>25</v>
      </c>
      <c r="E157" s="4" t="s">
        <v>52</v>
      </c>
      <c r="F157" s="4" t="s">
        <v>53</v>
      </c>
      <c r="G157" s="4" t="s">
        <v>19</v>
      </c>
      <c r="H157" s="38">
        <v>2</v>
      </c>
      <c r="I157" s="4">
        <v>149.99</v>
      </c>
      <c r="J157" s="4" t="s">
        <v>20</v>
      </c>
      <c r="K157" s="4" t="s">
        <v>35</v>
      </c>
      <c r="L157" s="4" t="s">
        <v>27</v>
      </c>
      <c r="M157" s="8">
        <v>44475</v>
      </c>
      <c r="N157" s="34">
        <v>299.98</v>
      </c>
      <c r="O157" s="4">
        <f ca="1">DATEDIF(Table1[[#This Row],[Customer_Since]],TODAY(),"Y")</f>
        <v>4</v>
      </c>
      <c r="P157" s="12">
        <f ca="1">DATEDIF(Table1[[#This Row],[Date]],TODAY(),"M")</f>
        <v>15</v>
      </c>
      <c r="Q157" s="12" t="str">
        <f ca="1">IF(Table1[[#This Row],[Months_Since_Purchase]]&gt;12,"Inactive","Active")</f>
        <v>Inactive</v>
      </c>
      <c r="R157" s="14">
        <f>EOMONTH(Table1[[#This Row],[Date]],0)</f>
        <v>45657</v>
      </c>
      <c r="S157" s="13" t="str">
        <f>IF(Table1[[#This Row],[Total_Amount]]&gt;=700,"High",
 IF(Table1[[#This Row],[Total_Amount]]&gt;=300,"Medium","Low"))</f>
        <v>Low</v>
      </c>
      <c r="T157" s="13">
        <f>Table1[[#This Row],[Total_Amount]]*(1-$AC$8)*0.3</f>
        <v>65.442813195389931</v>
      </c>
      <c r="U157" s="13">
        <f t="shared" si="4"/>
        <v>6949.84</v>
      </c>
      <c r="V157" s="13" t="str">
        <f>IF(Table1[[#This Row],[Customer_Total_Spend]]&gt;5000,"Yes","No")</f>
        <v>Yes</v>
      </c>
      <c r="W157" s="13">
        <f t="shared" si="5"/>
        <v>16</v>
      </c>
    </row>
    <row r="158" spans="1:23" ht="15" thickBot="1" x14ac:dyDescent="0.35">
      <c r="A158" s="3" t="s">
        <v>299</v>
      </c>
      <c r="B158" s="8">
        <v>45627</v>
      </c>
      <c r="C158" s="4" t="s">
        <v>86</v>
      </c>
      <c r="D158" s="4" t="s">
        <v>87</v>
      </c>
      <c r="E158" s="4" t="s">
        <v>80</v>
      </c>
      <c r="F158" s="4" t="s">
        <v>81</v>
      </c>
      <c r="G158" s="4" t="s">
        <v>19</v>
      </c>
      <c r="H158" s="38">
        <v>5</v>
      </c>
      <c r="I158" s="4">
        <v>699.99</v>
      </c>
      <c r="J158" s="4" t="s">
        <v>57</v>
      </c>
      <c r="K158" s="4" t="s">
        <v>50</v>
      </c>
      <c r="L158" s="4" t="s">
        <v>36</v>
      </c>
      <c r="M158" s="8">
        <v>44944</v>
      </c>
      <c r="N158" s="34">
        <v>3499.95</v>
      </c>
      <c r="O158" s="4">
        <f ca="1">DATEDIF(Table1[[#This Row],[Customer_Since]],TODAY(),"Y")</f>
        <v>3</v>
      </c>
      <c r="P158" s="12">
        <f ca="1">DATEDIF(Table1[[#This Row],[Date]],TODAY(),"M")</f>
        <v>15</v>
      </c>
      <c r="Q158" s="12" t="str">
        <f ca="1">IF(Table1[[#This Row],[Months_Since_Purchase]]&gt;12,"Inactive","Active")</f>
        <v>Inactive</v>
      </c>
      <c r="R158" s="14">
        <f>EOMONTH(Table1[[#This Row],[Date]],0)</f>
        <v>45657</v>
      </c>
      <c r="S158" s="13" t="str">
        <f>IF(Table1[[#This Row],[Total_Amount]]&gt;=700,"High",
 IF(Table1[[#This Row],[Total_Amount]]&gt;=300,"Medium","Low"))</f>
        <v>High</v>
      </c>
      <c r="T158" s="13">
        <f>Table1[[#This Row],[Total_Amount]]*(1-$AC$8)*0.3</f>
        <v>763.53948277620168</v>
      </c>
      <c r="U158" s="13">
        <f t="shared" si="4"/>
        <v>15659.65</v>
      </c>
      <c r="V158" s="13" t="str">
        <f>IF(Table1[[#This Row],[Customer_Total_Spend]]&gt;5000,"Yes","No")</f>
        <v>Yes</v>
      </c>
      <c r="W158" s="13">
        <f t="shared" si="5"/>
        <v>31</v>
      </c>
    </row>
    <row r="159" spans="1:23" ht="15" thickBot="1" x14ac:dyDescent="0.35">
      <c r="A159" s="3" t="s">
        <v>300</v>
      </c>
      <c r="B159" s="8">
        <v>45629</v>
      </c>
      <c r="C159" s="4" t="s">
        <v>252</v>
      </c>
      <c r="D159" s="4" t="s">
        <v>253</v>
      </c>
      <c r="E159" s="4" t="s">
        <v>17</v>
      </c>
      <c r="F159" s="4" t="s">
        <v>18</v>
      </c>
      <c r="G159" s="4" t="s">
        <v>19</v>
      </c>
      <c r="H159" s="38">
        <v>4</v>
      </c>
      <c r="I159" s="4">
        <v>249.99</v>
      </c>
      <c r="J159" s="4" t="s">
        <v>34</v>
      </c>
      <c r="K159" s="4" t="s">
        <v>63</v>
      </c>
      <c r="L159" s="4" t="s">
        <v>27</v>
      </c>
      <c r="M159" s="8">
        <v>45098</v>
      </c>
      <c r="N159" s="34">
        <v>999.96</v>
      </c>
      <c r="O159" s="4">
        <f ca="1">DATEDIF(Table1[[#This Row],[Customer_Since]],TODAY(),"Y")</f>
        <v>2</v>
      </c>
      <c r="P159" s="12">
        <f ca="1">DATEDIF(Table1[[#This Row],[Date]],TODAY(),"M")</f>
        <v>15</v>
      </c>
      <c r="Q159" s="12" t="str">
        <f ca="1">IF(Table1[[#This Row],[Months_Since_Purchase]]&gt;12,"Inactive","Active")</f>
        <v>Inactive</v>
      </c>
      <c r="R159" s="14">
        <f>EOMONTH(Table1[[#This Row],[Date]],0)</f>
        <v>45657</v>
      </c>
      <c r="S159" s="13" t="str">
        <f>IF(Table1[[#This Row],[Total_Amount]]&gt;=700,"High",
 IF(Table1[[#This Row],[Total_Amount]]&gt;=300,"Medium","Low"))</f>
        <v>High</v>
      </c>
      <c r="T159" s="13">
        <f>Table1[[#This Row],[Total_Amount]]*(1-$AC$8)*0.3</f>
        <v>218.14852817808563</v>
      </c>
      <c r="U159" s="13">
        <f t="shared" si="4"/>
        <v>4749.91</v>
      </c>
      <c r="V159" s="13" t="str">
        <f>IF(Table1[[#This Row],[Customer_Total_Spend]]&gt;5000,"Yes","No")</f>
        <v>No</v>
      </c>
      <c r="W159" s="13">
        <f t="shared" si="5"/>
        <v>26</v>
      </c>
    </row>
    <row r="160" spans="1:23" ht="15" thickBot="1" x14ac:dyDescent="0.35">
      <c r="A160" s="3" t="s">
        <v>301</v>
      </c>
      <c r="B160" s="8">
        <v>45630</v>
      </c>
      <c r="C160" s="4" t="s">
        <v>48</v>
      </c>
      <c r="D160" s="4" t="s">
        <v>49</v>
      </c>
      <c r="E160" s="4" t="s">
        <v>80</v>
      </c>
      <c r="F160" s="4" t="s">
        <v>81</v>
      </c>
      <c r="G160" s="4" t="s">
        <v>19</v>
      </c>
      <c r="H160" s="38">
        <v>4</v>
      </c>
      <c r="I160" s="4">
        <v>699.99</v>
      </c>
      <c r="J160" s="4" t="s">
        <v>26</v>
      </c>
      <c r="K160" s="4" t="s">
        <v>40</v>
      </c>
      <c r="L160" s="4" t="s">
        <v>27</v>
      </c>
      <c r="M160" s="8">
        <v>44703</v>
      </c>
      <c r="N160" s="34">
        <v>2799.96</v>
      </c>
      <c r="O160" s="4">
        <f ca="1">DATEDIF(Table1[[#This Row],[Customer_Since]],TODAY(),"Y")</f>
        <v>3</v>
      </c>
      <c r="P160" s="12">
        <f ca="1">DATEDIF(Table1[[#This Row],[Date]],TODAY(),"M")</f>
        <v>15</v>
      </c>
      <c r="Q160" s="12" t="str">
        <f ca="1">IF(Table1[[#This Row],[Months_Since_Purchase]]&gt;12,"Inactive","Active")</f>
        <v>Inactive</v>
      </c>
      <c r="R160" s="14">
        <f>EOMONTH(Table1[[#This Row],[Date]],0)</f>
        <v>45657</v>
      </c>
      <c r="S160" s="13" t="str">
        <f>IF(Table1[[#This Row],[Total_Amount]]&gt;=700,"High",
 IF(Table1[[#This Row],[Total_Amount]]&gt;=300,"Medium","Low"))</f>
        <v>High</v>
      </c>
      <c r="T160" s="13">
        <f>Table1[[#This Row],[Total_Amount]]*(1-$AC$8)*0.3</f>
        <v>610.8315862209613</v>
      </c>
      <c r="U160" s="13">
        <f t="shared" si="4"/>
        <v>8269.7900000000009</v>
      </c>
      <c r="V160" s="13" t="str">
        <f>IF(Table1[[#This Row],[Customer_Total_Spend]]&gt;5000,"Yes","No")</f>
        <v>Yes</v>
      </c>
      <c r="W160" s="13">
        <f t="shared" si="5"/>
        <v>31</v>
      </c>
    </row>
    <row r="161" spans="1:23" ht="15" thickBot="1" x14ac:dyDescent="0.35">
      <c r="A161" s="3" t="s">
        <v>302</v>
      </c>
      <c r="B161" s="8">
        <v>45635</v>
      </c>
      <c r="C161" s="4" t="s">
        <v>108</v>
      </c>
      <c r="D161" s="4" t="s">
        <v>109</v>
      </c>
      <c r="E161" s="4" t="s">
        <v>17</v>
      </c>
      <c r="F161" s="4" t="s">
        <v>18</v>
      </c>
      <c r="G161" s="4" t="s">
        <v>19</v>
      </c>
      <c r="H161" s="38">
        <v>2</v>
      </c>
      <c r="I161" s="4">
        <v>249.99</v>
      </c>
      <c r="J161" s="4" t="s">
        <v>26</v>
      </c>
      <c r="K161" s="4" t="s">
        <v>21</v>
      </c>
      <c r="L161" s="4" t="s">
        <v>27</v>
      </c>
      <c r="M161" s="8">
        <v>44396</v>
      </c>
      <c r="N161" s="34">
        <v>499.98</v>
      </c>
      <c r="O161" s="4">
        <f ca="1">DATEDIF(Table1[[#This Row],[Customer_Since]],TODAY(),"Y")</f>
        <v>4</v>
      </c>
      <c r="P161" s="12">
        <f ca="1">DATEDIF(Table1[[#This Row],[Date]],TODAY(),"M")</f>
        <v>14</v>
      </c>
      <c r="Q161" s="12" t="str">
        <f ca="1">IF(Table1[[#This Row],[Months_Since_Purchase]]&gt;12,"Inactive","Active")</f>
        <v>Inactive</v>
      </c>
      <c r="R161" s="14">
        <f>EOMONTH(Table1[[#This Row],[Date]],0)</f>
        <v>45657</v>
      </c>
      <c r="S161" s="13" t="str">
        <f>IF(Table1[[#This Row],[Total_Amount]]&gt;=700,"High",
 IF(Table1[[#This Row],[Total_Amount]]&gt;=300,"Medium","Low"))</f>
        <v>Medium</v>
      </c>
      <c r="T161" s="13">
        <f>Table1[[#This Row],[Total_Amount]]*(1-$AC$8)*0.3</f>
        <v>109.07426408904281</v>
      </c>
      <c r="U161" s="13">
        <f t="shared" si="4"/>
        <v>4189.7700000000004</v>
      </c>
      <c r="V161" s="13" t="str">
        <f>IF(Table1[[#This Row],[Customer_Total_Spend]]&gt;5000,"Yes","No")</f>
        <v>No</v>
      </c>
      <c r="W161" s="13">
        <f t="shared" si="5"/>
        <v>26</v>
      </c>
    </row>
    <row r="162" spans="1:23" ht="15" thickBot="1" x14ac:dyDescent="0.35">
      <c r="A162" s="3" t="s">
        <v>303</v>
      </c>
      <c r="B162" s="8">
        <v>45635</v>
      </c>
      <c r="C162" s="4" t="s">
        <v>304</v>
      </c>
      <c r="D162" s="4" t="s">
        <v>305</v>
      </c>
      <c r="E162" s="4" t="s">
        <v>31</v>
      </c>
      <c r="F162" s="4" t="s">
        <v>32</v>
      </c>
      <c r="G162" s="4" t="s">
        <v>33</v>
      </c>
      <c r="H162" s="38">
        <v>3</v>
      </c>
      <c r="I162" s="4">
        <v>59.99</v>
      </c>
      <c r="J162" s="4" t="s">
        <v>20</v>
      </c>
      <c r="K162" s="4" t="s">
        <v>21</v>
      </c>
      <c r="L162" s="4" t="s">
        <v>27</v>
      </c>
      <c r="M162" s="8">
        <v>45052</v>
      </c>
      <c r="N162" s="34">
        <v>179.97</v>
      </c>
      <c r="O162" s="4">
        <f ca="1">DATEDIF(Table1[[#This Row],[Customer_Since]],TODAY(),"Y")</f>
        <v>2</v>
      </c>
      <c r="P162" s="12">
        <f ca="1">DATEDIF(Table1[[#This Row],[Date]],TODAY(),"M")</f>
        <v>14</v>
      </c>
      <c r="Q162" s="12" t="str">
        <f ca="1">IF(Table1[[#This Row],[Months_Since_Purchase]]&gt;12,"Inactive","Active")</f>
        <v>Inactive</v>
      </c>
      <c r="R162" s="14">
        <f>EOMONTH(Table1[[#This Row],[Date]],0)</f>
        <v>45657</v>
      </c>
      <c r="S162" s="13" t="str">
        <f>IF(Table1[[#This Row],[Total_Amount]]&gt;=700,"High",
 IF(Table1[[#This Row],[Total_Amount]]&gt;=300,"Medium","Low"))</f>
        <v>Low</v>
      </c>
      <c r="T162" s="13">
        <f>Table1[[#This Row],[Total_Amount]]*(1-$AC$8)*0.3</f>
        <v>39.261761086653529</v>
      </c>
      <c r="U162" s="13">
        <f t="shared" si="4"/>
        <v>179.97</v>
      </c>
      <c r="V162" s="13" t="str">
        <f>IF(Table1[[#This Row],[Customer_Total_Spend]]&gt;5000,"Yes","No")</f>
        <v>No</v>
      </c>
      <c r="W162" s="13">
        <f t="shared" si="5"/>
        <v>29</v>
      </c>
    </row>
    <row r="163" spans="1:23" ht="15" thickBot="1" x14ac:dyDescent="0.35">
      <c r="A163" s="3" t="s">
        <v>306</v>
      </c>
      <c r="B163" s="8">
        <v>45635</v>
      </c>
      <c r="C163" s="4" t="s">
        <v>141</v>
      </c>
      <c r="D163" s="4" t="s">
        <v>142</v>
      </c>
      <c r="E163" s="4" t="s">
        <v>114</v>
      </c>
      <c r="F163" s="4" t="s">
        <v>115</v>
      </c>
      <c r="G163" s="4" t="s">
        <v>33</v>
      </c>
      <c r="H163" s="38">
        <v>4</v>
      </c>
      <c r="I163" s="4">
        <v>79.989999999999995</v>
      </c>
      <c r="J163" s="4" t="s">
        <v>57</v>
      </c>
      <c r="K163" s="4" t="s">
        <v>63</v>
      </c>
      <c r="L163" s="4" t="s">
        <v>36</v>
      </c>
      <c r="M163" s="8">
        <v>44921</v>
      </c>
      <c r="N163" s="34">
        <v>319.95999999999998</v>
      </c>
      <c r="O163" s="4">
        <f ca="1">DATEDIF(Table1[[#This Row],[Customer_Since]],TODAY(),"Y")</f>
        <v>3</v>
      </c>
      <c r="P163" s="12">
        <f ca="1">DATEDIF(Table1[[#This Row],[Date]],TODAY(),"M")</f>
        <v>14</v>
      </c>
      <c r="Q163" s="12" t="str">
        <f ca="1">IF(Table1[[#This Row],[Months_Since_Purchase]]&gt;12,"Inactive","Active")</f>
        <v>Inactive</v>
      </c>
      <c r="R163" s="14">
        <f>EOMONTH(Table1[[#This Row],[Date]],0)</f>
        <v>45657</v>
      </c>
      <c r="S163" s="13" t="str">
        <f>IF(Table1[[#This Row],[Total_Amount]]&gt;=700,"High",
 IF(Table1[[#This Row],[Total_Amount]]&gt;=300,"Medium","Low"))</f>
        <v>Medium</v>
      </c>
      <c r="T163" s="13">
        <f>Table1[[#This Row],[Total_Amount]]*(1-$AC$8)*0.3</f>
        <v>69.801595139665849</v>
      </c>
      <c r="U163" s="13">
        <f t="shared" si="4"/>
        <v>4739.8500000000004</v>
      </c>
      <c r="V163" s="13" t="str">
        <f>IF(Table1[[#This Row],[Customer_Total_Spend]]&gt;5000,"Yes","No")</f>
        <v>No</v>
      </c>
      <c r="W163" s="13">
        <f t="shared" si="5"/>
        <v>14</v>
      </c>
    </row>
    <row r="164" spans="1:23" ht="15" thickBot="1" x14ac:dyDescent="0.35">
      <c r="A164" s="3" t="s">
        <v>307</v>
      </c>
      <c r="B164" s="8">
        <v>45636</v>
      </c>
      <c r="C164" s="4" t="s">
        <v>120</v>
      </c>
      <c r="D164" s="4" t="s">
        <v>121</v>
      </c>
      <c r="E164" s="4" t="s">
        <v>114</v>
      </c>
      <c r="F164" s="4" t="s">
        <v>115</v>
      </c>
      <c r="G164" s="4" t="s">
        <v>33</v>
      </c>
      <c r="H164" s="38">
        <v>3</v>
      </c>
      <c r="I164" s="4">
        <v>79.989999999999995</v>
      </c>
      <c r="J164" s="4" t="s">
        <v>57</v>
      </c>
      <c r="K164" s="4" t="s">
        <v>63</v>
      </c>
      <c r="L164" s="4" t="s">
        <v>36</v>
      </c>
      <c r="M164" s="8">
        <v>44779</v>
      </c>
      <c r="N164" s="34">
        <v>239.97</v>
      </c>
      <c r="O164" s="4">
        <f ca="1">DATEDIF(Table1[[#This Row],[Customer_Since]],TODAY(),"Y")</f>
        <v>3</v>
      </c>
      <c r="P164" s="12">
        <f ca="1">DATEDIF(Table1[[#This Row],[Date]],TODAY(),"M")</f>
        <v>14</v>
      </c>
      <c r="Q164" s="12" t="str">
        <f ca="1">IF(Table1[[#This Row],[Months_Since_Purchase]]&gt;12,"Inactive","Active")</f>
        <v>Inactive</v>
      </c>
      <c r="R164" s="14">
        <f>EOMONTH(Table1[[#This Row],[Date]],0)</f>
        <v>45657</v>
      </c>
      <c r="S164" s="13" t="str">
        <f>IF(Table1[[#This Row],[Total_Amount]]&gt;=700,"High",
 IF(Table1[[#This Row],[Total_Amount]]&gt;=300,"Medium","Low"))</f>
        <v>Low</v>
      </c>
      <c r="T164" s="13">
        <f>Table1[[#This Row],[Total_Amount]]*(1-$AC$8)*0.3</f>
        <v>52.351196354749391</v>
      </c>
      <c r="U164" s="13">
        <f t="shared" si="4"/>
        <v>6459.79</v>
      </c>
      <c r="V164" s="13" t="str">
        <f>IF(Table1[[#This Row],[Customer_Total_Spend]]&gt;5000,"Yes","No")</f>
        <v>Yes</v>
      </c>
      <c r="W164" s="13">
        <f t="shared" si="5"/>
        <v>14</v>
      </c>
    </row>
    <row r="165" spans="1:23" ht="15" thickBot="1" x14ac:dyDescent="0.35">
      <c r="A165" s="3" t="s">
        <v>308</v>
      </c>
      <c r="B165" s="8">
        <v>45638</v>
      </c>
      <c r="C165" s="4" t="s">
        <v>72</v>
      </c>
      <c r="D165" s="4" t="s">
        <v>73</v>
      </c>
      <c r="E165" s="4" t="s">
        <v>61</v>
      </c>
      <c r="F165" s="4" t="s">
        <v>62</v>
      </c>
      <c r="G165" s="4" t="s">
        <v>19</v>
      </c>
      <c r="H165" s="38">
        <v>2</v>
      </c>
      <c r="I165" s="4">
        <v>899.99</v>
      </c>
      <c r="J165" s="4" t="s">
        <v>20</v>
      </c>
      <c r="K165" s="4" t="s">
        <v>40</v>
      </c>
      <c r="L165" s="4" t="s">
        <v>22</v>
      </c>
      <c r="M165" s="8">
        <v>44406</v>
      </c>
      <c r="N165" s="34">
        <v>1799.98</v>
      </c>
      <c r="O165" s="4">
        <f ca="1">DATEDIF(Table1[[#This Row],[Customer_Since]],TODAY(),"Y")</f>
        <v>4</v>
      </c>
      <c r="P165" s="12">
        <f ca="1">DATEDIF(Table1[[#This Row],[Date]],TODAY(),"M")</f>
        <v>14</v>
      </c>
      <c r="Q165" s="12" t="str">
        <f ca="1">IF(Table1[[#This Row],[Months_Since_Purchase]]&gt;12,"Inactive","Active")</f>
        <v>Inactive</v>
      </c>
      <c r="R165" s="14">
        <f>EOMONTH(Table1[[#This Row],[Date]],0)</f>
        <v>45657</v>
      </c>
      <c r="S165" s="13" t="str">
        <f>IF(Table1[[#This Row],[Total_Amount]]&gt;=700,"High",
 IF(Table1[[#This Row],[Total_Amount]]&gt;=300,"Medium","Low"))</f>
        <v>High</v>
      </c>
      <c r="T165" s="13">
        <f>Table1[[#This Row],[Total_Amount]]*(1-$AC$8)*0.3</f>
        <v>392.67869489778644</v>
      </c>
      <c r="U165" s="13">
        <f t="shared" si="4"/>
        <v>5949.85</v>
      </c>
      <c r="V165" s="13" t="str">
        <f>IF(Table1[[#This Row],[Customer_Total_Spend]]&gt;5000,"Yes","No")</f>
        <v>Yes</v>
      </c>
      <c r="W165" s="13">
        <f t="shared" si="5"/>
        <v>24</v>
      </c>
    </row>
    <row r="166" spans="1:23" ht="15" thickBot="1" x14ac:dyDescent="0.35">
      <c r="A166" s="3" t="s">
        <v>309</v>
      </c>
      <c r="B166" s="8">
        <v>45641</v>
      </c>
      <c r="C166" s="4" t="s">
        <v>182</v>
      </c>
      <c r="D166" s="4" t="s">
        <v>183</v>
      </c>
      <c r="E166" s="4" t="s">
        <v>44</v>
      </c>
      <c r="F166" s="4" t="s">
        <v>45</v>
      </c>
      <c r="G166" s="4" t="s">
        <v>46</v>
      </c>
      <c r="H166" s="38">
        <v>1</v>
      </c>
      <c r="I166" s="4">
        <v>149.99</v>
      </c>
      <c r="J166" s="4" t="s">
        <v>57</v>
      </c>
      <c r="K166" s="4" t="s">
        <v>63</v>
      </c>
      <c r="L166" s="4" t="s">
        <v>36</v>
      </c>
      <c r="M166" s="8">
        <v>45200</v>
      </c>
      <c r="N166" s="34">
        <v>149.99</v>
      </c>
      <c r="O166" s="4">
        <f ca="1">DATEDIF(Table1[[#This Row],[Customer_Since]],TODAY(),"Y")</f>
        <v>2</v>
      </c>
      <c r="P166" s="12">
        <f ca="1">DATEDIF(Table1[[#This Row],[Date]],TODAY(),"M")</f>
        <v>14</v>
      </c>
      <c r="Q166" s="12" t="str">
        <f ca="1">IF(Table1[[#This Row],[Months_Since_Purchase]]&gt;12,"Inactive","Active")</f>
        <v>Inactive</v>
      </c>
      <c r="R166" s="14">
        <f>EOMONTH(Table1[[#This Row],[Date]],0)</f>
        <v>45657</v>
      </c>
      <c r="S166" s="13" t="str">
        <f>IF(Table1[[#This Row],[Total_Amount]]&gt;=700,"High",
 IF(Table1[[#This Row],[Total_Amount]]&gt;=300,"Medium","Low"))</f>
        <v>Low</v>
      </c>
      <c r="T166" s="13">
        <f>Table1[[#This Row],[Total_Amount]]*(1-$AC$8)*0.3</f>
        <v>32.721406597694966</v>
      </c>
      <c r="U166" s="13">
        <f t="shared" si="4"/>
        <v>1809.84</v>
      </c>
      <c r="V166" s="13" t="str">
        <f>IF(Table1[[#This Row],[Customer_Total_Spend]]&gt;5000,"Yes","No")</f>
        <v>No</v>
      </c>
      <c r="W166" s="13">
        <f t="shared" si="5"/>
        <v>35</v>
      </c>
    </row>
    <row r="167" spans="1:23" ht="15" thickBot="1" x14ac:dyDescent="0.35">
      <c r="A167" s="3" t="s">
        <v>310</v>
      </c>
      <c r="B167" s="8">
        <v>45641</v>
      </c>
      <c r="C167" s="4" t="s">
        <v>138</v>
      </c>
      <c r="D167" s="4" t="s">
        <v>139</v>
      </c>
      <c r="E167" s="4" t="s">
        <v>105</v>
      </c>
      <c r="F167" s="4" t="s">
        <v>106</v>
      </c>
      <c r="G167" s="4" t="s">
        <v>46</v>
      </c>
      <c r="H167" s="38">
        <v>2</v>
      </c>
      <c r="I167" s="4">
        <v>299.99</v>
      </c>
      <c r="J167" s="4" t="s">
        <v>20</v>
      </c>
      <c r="K167" s="4" t="s">
        <v>63</v>
      </c>
      <c r="L167" s="4" t="s">
        <v>27</v>
      </c>
      <c r="M167" s="8">
        <v>44724</v>
      </c>
      <c r="N167" s="34">
        <v>599.98</v>
      </c>
      <c r="O167" s="4">
        <f ca="1">DATEDIF(Table1[[#This Row],[Customer_Since]],TODAY(),"Y")</f>
        <v>3</v>
      </c>
      <c r="P167" s="12">
        <f ca="1">DATEDIF(Table1[[#This Row],[Date]],TODAY(),"M")</f>
        <v>14</v>
      </c>
      <c r="Q167" s="12" t="str">
        <f ca="1">IF(Table1[[#This Row],[Months_Since_Purchase]]&gt;12,"Inactive","Active")</f>
        <v>Inactive</v>
      </c>
      <c r="R167" s="14">
        <f>EOMONTH(Table1[[#This Row],[Date]],0)</f>
        <v>45657</v>
      </c>
      <c r="S167" s="13" t="str">
        <f>IF(Table1[[#This Row],[Total_Amount]]&gt;=700,"High",
 IF(Table1[[#This Row],[Total_Amount]]&gt;=300,"Medium","Low"))</f>
        <v>Medium</v>
      </c>
      <c r="T167" s="13">
        <f>Table1[[#This Row],[Total_Amount]]*(1-$AC$8)*0.3</f>
        <v>130.88998953586923</v>
      </c>
      <c r="U167" s="13">
        <f t="shared" si="4"/>
        <v>2649.83</v>
      </c>
      <c r="V167" s="13" t="str">
        <f>IF(Table1[[#This Row],[Customer_Total_Spend]]&gt;5000,"Yes","No")</f>
        <v>No</v>
      </c>
      <c r="W167" s="13">
        <f t="shared" si="5"/>
        <v>26</v>
      </c>
    </row>
    <row r="168" spans="1:23" ht="15" thickBot="1" x14ac:dyDescent="0.35">
      <c r="A168" s="3" t="s">
        <v>311</v>
      </c>
      <c r="B168" s="8">
        <v>45644</v>
      </c>
      <c r="C168" s="4" t="s">
        <v>132</v>
      </c>
      <c r="D168" s="4" t="s">
        <v>133</v>
      </c>
      <c r="E168" s="4" t="s">
        <v>31</v>
      </c>
      <c r="F168" s="4" t="s">
        <v>32</v>
      </c>
      <c r="G168" s="4" t="s">
        <v>33</v>
      </c>
      <c r="H168" s="38">
        <v>2</v>
      </c>
      <c r="I168" s="4">
        <v>59.99</v>
      </c>
      <c r="J168" s="4" t="s">
        <v>20</v>
      </c>
      <c r="K168" s="4" t="s">
        <v>50</v>
      </c>
      <c r="L168" s="4" t="s">
        <v>22</v>
      </c>
      <c r="M168" s="8">
        <v>45191</v>
      </c>
      <c r="N168" s="34">
        <v>119.98</v>
      </c>
      <c r="O168" s="4">
        <f ca="1">DATEDIF(Table1[[#This Row],[Customer_Since]],TODAY(),"Y")</f>
        <v>2</v>
      </c>
      <c r="P168" s="12">
        <f ca="1">DATEDIF(Table1[[#This Row],[Date]],TODAY(),"M")</f>
        <v>14</v>
      </c>
      <c r="Q168" s="12" t="str">
        <f ca="1">IF(Table1[[#This Row],[Months_Since_Purchase]]&gt;12,"Inactive","Active")</f>
        <v>Inactive</v>
      </c>
      <c r="R168" s="14">
        <f>EOMONTH(Table1[[#This Row],[Date]],0)</f>
        <v>45657</v>
      </c>
      <c r="S168" s="13" t="str">
        <f>IF(Table1[[#This Row],[Total_Amount]]&gt;=700,"High",
 IF(Table1[[#This Row],[Total_Amount]]&gt;=300,"Medium","Low"))</f>
        <v>Low</v>
      </c>
      <c r="T168" s="13">
        <f>Table1[[#This Row],[Total_Amount]]*(1-$AC$8)*0.3</f>
        <v>26.174507391102356</v>
      </c>
      <c r="U168" s="13">
        <f t="shared" si="4"/>
        <v>1229.8800000000001</v>
      </c>
      <c r="V168" s="13" t="str">
        <f>IF(Table1[[#This Row],[Customer_Total_Spend]]&gt;5000,"Yes","No")</f>
        <v>No</v>
      </c>
      <c r="W168" s="13">
        <f t="shared" si="5"/>
        <v>29</v>
      </c>
    </row>
    <row r="169" spans="1:23" ht="15" thickBot="1" x14ac:dyDescent="0.35">
      <c r="A169" s="3" t="s">
        <v>312</v>
      </c>
      <c r="B169" s="8">
        <v>45645</v>
      </c>
      <c r="C169" s="4" t="s">
        <v>182</v>
      </c>
      <c r="D169" s="4" t="s">
        <v>183</v>
      </c>
      <c r="E169" s="4" t="s">
        <v>117</v>
      </c>
      <c r="F169" s="4" t="s">
        <v>118</v>
      </c>
      <c r="G169" s="4" t="s">
        <v>19</v>
      </c>
      <c r="H169" s="38">
        <v>1</v>
      </c>
      <c r="I169" s="4">
        <v>89.99</v>
      </c>
      <c r="J169" s="4" t="s">
        <v>57</v>
      </c>
      <c r="K169" s="4" t="s">
        <v>21</v>
      </c>
      <c r="L169" s="4" t="s">
        <v>36</v>
      </c>
      <c r="M169" s="8">
        <v>44760</v>
      </c>
      <c r="N169" s="34">
        <v>89.99</v>
      </c>
      <c r="O169" s="4">
        <f ca="1">DATEDIF(Table1[[#This Row],[Customer_Since]],TODAY(),"Y")</f>
        <v>3</v>
      </c>
      <c r="P169" s="12">
        <f ca="1">DATEDIF(Table1[[#This Row],[Date]],TODAY(),"M")</f>
        <v>14</v>
      </c>
      <c r="Q169" s="12" t="str">
        <f ca="1">IF(Table1[[#This Row],[Months_Since_Purchase]]&gt;12,"Inactive","Active")</f>
        <v>Inactive</v>
      </c>
      <c r="R169" s="14">
        <f>EOMONTH(Table1[[#This Row],[Date]],0)</f>
        <v>45657</v>
      </c>
      <c r="S169" s="13" t="str">
        <f>IF(Table1[[#This Row],[Total_Amount]]&gt;=700,"High",
 IF(Table1[[#This Row],[Total_Amount]]&gt;=300,"Medium","Low"))</f>
        <v>Low</v>
      </c>
      <c r="T169" s="13">
        <f>Table1[[#This Row],[Total_Amount]]*(1-$AC$8)*0.3</f>
        <v>19.631971329599107</v>
      </c>
      <c r="U169" s="13">
        <f t="shared" si="4"/>
        <v>1809.84</v>
      </c>
      <c r="V169" s="13" t="str">
        <f>IF(Table1[[#This Row],[Customer_Total_Spend]]&gt;5000,"Yes","No")</f>
        <v>No</v>
      </c>
      <c r="W169" s="13">
        <f t="shared" si="5"/>
        <v>34</v>
      </c>
    </row>
    <row r="170" spans="1:23" ht="15" thickBot="1" x14ac:dyDescent="0.35">
      <c r="A170" s="3" t="s">
        <v>313</v>
      </c>
      <c r="B170" s="8">
        <v>45645</v>
      </c>
      <c r="C170" s="4" t="s">
        <v>147</v>
      </c>
      <c r="D170" s="4" t="s">
        <v>148</v>
      </c>
      <c r="E170" s="4" t="s">
        <v>61</v>
      </c>
      <c r="F170" s="4" t="s">
        <v>62</v>
      </c>
      <c r="G170" s="4" t="s">
        <v>19</v>
      </c>
      <c r="H170" s="38">
        <v>5</v>
      </c>
      <c r="I170" s="4">
        <v>899.99</v>
      </c>
      <c r="J170" s="4" t="s">
        <v>57</v>
      </c>
      <c r="K170" s="4" t="s">
        <v>63</v>
      </c>
      <c r="L170" s="4" t="s">
        <v>36</v>
      </c>
      <c r="M170" s="8">
        <v>44625</v>
      </c>
      <c r="N170" s="34">
        <v>4499.95</v>
      </c>
      <c r="O170" s="4">
        <f ca="1">DATEDIF(Table1[[#This Row],[Customer_Since]],TODAY(),"Y")</f>
        <v>3</v>
      </c>
      <c r="P170" s="12">
        <f ca="1">DATEDIF(Table1[[#This Row],[Date]],TODAY(),"M")</f>
        <v>14</v>
      </c>
      <c r="Q170" s="12" t="str">
        <f ca="1">IF(Table1[[#This Row],[Months_Since_Purchase]]&gt;12,"Inactive","Active")</f>
        <v>Inactive</v>
      </c>
      <c r="R170" s="14">
        <f>EOMONTH(Table1[[#This Row],[Date]],0)</f>
        <v>45657</v>
      </c>
      <c r="S170" s="13" t="str">
        <f>IF(Table1[[#This Row],[Total_Amount]]&gt;=700,"High",
 IF(Table1[[#This Row],[Total_Amount]]&gt;=300,"Medium","Low"))</f>
        <v>High</v>
      </c>
      <c r="T170" s="13">
        <f>Table1[[#This Row],[Total_Amount]]*(1-$AC$8)*0.3</f>
        <v>981.69673724446602</v>
      </c>
      <c r="U170" s="13">
        <f t="shared" si="4"/>
        <v>7309.7999999999993</v>
      </c>
      <c r="V170" s="13" t="str">
        <f>IF(Table1[[#This Row],[Customer_Total_Spend]]&gt;5000,"Yes","No")</f>
        <v>Yes</v>
      </c>
      <c r="W170" s="13">
        <f t="shared" si="5"/>
        <v>24</v>
      </c>
    </row>
    <row r="171" spans="1:23" ht="15" thickBot="1" x14ac:dyDescent="0.35">
      <c r="A171" s="3" t="s">
        <v>314</v>
      </c>
      <c r="B171" s="8">
        <v>45646</v>
      </c>
      <c r="C171" s="4" t="s">
        <v>42</v>
      </c>
      <c r="D171" s="4" t="s">
        <v>43</v>
      </c>
      <c r="E171" s="4" t="s">
        <v>44</v>
      </c>
      <c r="F171" s="4" t="s">
        <v>45</v>
      </c>
      <c r="G171" s="4" t="s">
        <v>46</v>
      </c>
      <c r="H171" s="38">
        <v>2</v>
      </c>
      <c r="I171" s="4">
        <v>149.99</v>
      </c>
      <c r="J171" s="4" t="s">
        <v>20</v>
      </c>
      <c r="K171" s="4" t="s">
        <v>35</v>
      </c>
      <c r="L171" s="4" t="s">
        <v>22</v>
      </c>
      <c r="M171" s="8">
        <v>45239</v>
      </c>
      <c r="N171" s="34">
        <v>299.98</v>
      </c>
      <c r="O171" s="4">
        <f ca="1">DATEDIF(Table1[[#This Row],[Customer_Since]],TODAY(),"Y")</f>
        <v>2</v>
      </c>
      <c r="P171" s="12">
        <f ca="1">DATEDIF(Table1[[#This Row],[Date]],TODAY(),"M")</f>
        <v>14</v>
      </c>
      <c r="Q171" s="12" t="str">
        <f ca="1">IF(Table1[[#This Row],[Months_Since_Purchase]]&gt;12,"Inactive","Active")</f>
        <v>Inactive</v>
      </c>
      <c r="R171" s="14">
        <f>EOMONTH(Table1[[#This Row],[Date]],0)</f>
        <v>45657</v>
      </c>
      <c r="S171" s="13" t="str">
        <f>IF(Table1[[#This Row],[Total_Amount]]&gt;=700,"High",
 IF(Table1[[#This Row],[Total_Amount]]&gt;=300,"Medium","Low"))</f>
        <v>Low</v>
      </c>
      <c r="T171" s="13">
        <f>Table1[[#This Row],[Total_Amount]]*(1-$AC$8)*0.3</f>
        <v>65.442813195389931</v>
      </c>
      <c r="U171" s="13">
        <f t="shared" si="4"/>
        <v>6169.7400000000007</v>
      </c>
      <c r="V171" s="13" t="str">
        <f>IF(Table1[[#This Row],[Customer_Total_Spend]]&gt;5000,"Yes","No")</f>
        <v>Yes</v>
      </c>
      <c r="W171" s="13">
        <f t="shared" si="5"/>
        <v>35</v>
      </c>
    </row>
    <row r="172" spans="1:23" ht="15" thickBot="1" x14ac:dyDescent="0.35">
      <c r="A172" s="3" t="s">
        <v>315</v>
      </c>
      <c r="B172" s="8">
        <v>45648</v>
      </c>
      <c r="C172" s="4" t="s">
        <v>112</v>
      </c>
      <c r="D172" s="4" t="s">
        <v>113</v>
      </c>
      <c r="E172" s="4" t="s">
        <v>52</v>
      </c>
      <c r="F172" s="4" t="s">
        <v>53</v>
      </c>
      <c r="G172" s="4" t="s">
        <v>19</v>
      </c>
      <c r="H172" s="38">
        <v>2</v>
      </c>
      <c r="I172" s="4">
        <v>149.99</v>
      </c>
      <c r="J172" s="4" t="s">
        <v>57</v>
      </c>
      <c r="K172" s="4" t="s">
        <v>50</v>
      </c>
      <c r="L172" s="4" t="s">
        <v>27</v>
      </c>
      <c r="M172" s="8">
        <v>45280</v>
      </c>
      <c r="N172" s="34">
        <v>299.98</v>
      </c>
      <c r="O172" s="4">
        <f ca="1">DATEDIF(Table1[[#This Row],[Customer_Since]],TODAY(),"Y")</f>
        <v>2</v>
      </c>
      <c r="P172" s="12">
        <f ca="1">DATEDIF(Table1[[#This Row],[Date]],TODAY(),"M")</f>
        <v>14</v>
      </c>
      <c r="Q172" s="12" t="str">
        <f ca="1">IF(Table1[[#This Row],[Months_Since_Purchase]]&gt;12,"Inactive","Active")</f>
        <v>Inactive</v>
      </c>
      <c r="R172" s="14">
        <f>EOMONTH(Table1[[#This Row],[Date]],0)</f>
        <v>45657</v>
      </c>
      <c r="S172" s="13" t="str">
        <f>IF(Table1[[#This Row],[Total_Amount]]&gt;=700,"High",
 IF(Table1[[#This Row],[Total_Amount]]&gt;=300,"Medium","Low"))</f>
        <v>Low</v>
      </c>
      <c r="T172" s="13">
        <f>Table1[[#This Row],[Total_Amount]]*(1-$AC$8)*0.3</f>
        <v>65.442813195389931</v>
      </c>
      <c r="U172" s="13">
        <f t="shared" si="4"/>
        <v>1289.9000000000001</v>
      </c>
      <c r="V172" s="13" t="str">
        <f>IF(Table1[[#This Row],[Customer_Total_Spend]]&gt;5000,"Yes","No")</f>
        <v>No</v>
      </c>
      <c r="W172" s="13">
        <f t="shared" si="5"/>
        <v>16</v>
      </c>
    </row>
    <row r="173" spans="1:23" ht="15" thickBot="1" x14ac:dyDescent="0.35">
      <c r="A173" s="3" t="s">
        <v>316</v>
      </c>
      <c r="B173" s="8">
        <v>45648</v>
      </c>
      <c r="C173" s="4" t="s">
        <v>182</v>
      </c>
      <c r="D173" s="4" t="s">
        <v>183</v>
      </c>
      <c r="E173" s="4" t="s">
        <v>44</v>
      </c>
      <c r="F173" s="4" t="s">
        <v>45</v>
      </c>
      <c r="G173" s="4" t="s">
        <v>46</v>
      </c>
      <c r="H173" s="38">
        <v>3</v>
      </c>
      <c r="I173" s="4">
        <v>149.99</v>
      </c>
      <c r="J173" s="4" t="s">
        <v>57</v>
      </c>
      <c r="K173" s="4" t="s">
        <v>40</v>
      </c>
      <c r="L173" s="4" t="s">
        <v>36</v>
      </c>
      <c r="M173" s="8">
        <v>44522</v>
      </c>
      <c r="N173" s="34">
        <v>449.97</v>
      </c>
      <c r="O173" s="4">
        <f ca="1">DATEDIF(Table1[[#This Row],[Customer_Since]],TODAY(),"Y")</f>
        <v>4</v>
      </c>
      <c r="P173" s="12">
        <f ca="1">DATEDIF(Table1[[#This Row],[Date]],TODAY(),"M")</f>
        <v>14</v>
      </c>
      <c r="Q173" s="12" t="str">
        <f ca="1">IF(Table1[[#This Row],[Months_Since_Purchase]]&gt;12,"Inactive","Active")</f>
        <v>Inactive</v>
      </c>
      <c r="R173" s="14">
        <f>EOMONTH(Table1[[#This Row],[Date]],0)</f>
        <v>45657</v>
      </c>
      <c r="S173" s="13" t="str">
        <f>IF(Table1[[#This Row],[Total_Amount]]&gt;=700,"High",
 IF(Table1[[#This Row],[Total_Amount]]&gt;=300,"Medium","Low"))</f>
        <v>Medium</v>
      </c>
      <c r="T173" s="13">
        <f>Table1[[#This Row],[Total_Amount]]*(1-$AC$8)*0.3</f>
        <v>98.164219793084911</v>
      </c>
      <c r="U173" s="13">
        <f t="shared" si="4"/>
        <v>1809.84</v>
      </c>
      <c r="V173" s="13" t="str">
        <f>IF(Table1[[#This Row],[Customer_Total_Spend]]&gt;5000,"Yes","No")</f>
        <v>No</v>
      </c>
      <c r="W173" s="13">
        <f t="shared" si="5"/>
        <v>35</v>
      </c>
    </row>
    <row r="174" spans="1:23" ht="15" thickBot="1" x14ac:dyDescent="0.35">
      <c r="A174" s="3" t="s">
        <v>317</v>
      </c>
      <c r="B174" s="8">
        <v>45649</v>
      </c>
      <c r="C174" s="4" t="s">
        <v>29</v>
      </c>
      <c r="D174" s="4" t="s">
        <v>30</v>
      </c>
      <c r="E174" s="4" t="s">
        <v>105</v>
      </c>
      <c r="F174" s="4" t="s">
        <v>106</v>
      </c>
      <c r="G174" s="4" t="s">
        <v>46</v>
      </c>
      <c r="H174" s="38">
        <v>2</v>
      </c>
      <c r="I174" s="4">
        <v>299.99</v>
      </c>
      <c r="J174" s="4" t="s">
        <v>34</v>
      </c>
      <c r="K174" s="4" t="s">
        <v>35</v>
      </c>
      <c r="L174" s="4" t="s">
        <v>22</v>
      </c>
      <c r="M174" s="8">
        <v>44721</v>
      </c>
      <c r="N174" s="34">
        <v>599.98</v>
      </c>
      <c r="O174" s="4">
        <f ca="1">DATEDIF(Table1[[#This Row],[Customer_Since]],TODAY(),"Y")</f>
        <v>3</v>
      </c>
      <c r="P174" s="12">
        <f ca="1">DATEDIF(Table1[[#This Row],[Date]],TODAY(),"M")</f>
        <v>14</v>
      </c>
      <c r="Q174" s="12" t="str">
        <f ca="1">IF(Table1[[#This Row],[Months_Since_Purchase]]&gt;12,"Inactive","Active")</f>
        <v>Inactive</v>
      </c>
      <c r="R174" s="14">
        <f>EOMONTH(Table1[[#This Row],[Date]],0)</f>
        <v>45657</v>
      </c>
      <c r="S174" s="13" t="str">
        <f>IF(Table1[[#This Row],[Total_Amount]]&gt;=700,"High",
 IF(Table1[[#This Row],[Total_Amount]]&gt;=300,"Medium","Low"))</f>
        <v>Medium</v>
      </c>
      <c r="T174" s="13">
        <f>Table1[[#This Row],[Total_Amount]]*(1-$AC$8)*0.3</f>
        <v>130.88998953586923</v>
      </c>
      <c r="U174" s="13">
        <f t="shared" si="4"/>
        <v>3259.87</v>
      </c>
      <c r="V174" s="13" t="str">
        <f>IF(Table1[[#This Row],[Customer_Total_Spend]]&gt;5000,"Yes","No")</f>
        <v>No</v>
      </c>
      <c r="W174" s="13">
        <f t="shared" si="5"/>
        <v>26</v>
      </c>
    </row>
    <row r="175" spans="1:23" ht="15" thickBot="1" x14ac:dyDescent="0.35">
      <c r="A175" s="3" t="s">
        <v>318</v>
      </c>
      <c r="B175" s="8">
        <v>45654</v>
      </c>
      <c r="C175" s="4" t="s">
        <v>42</v>
      </c>
      <c r="D175" s="4" t="s">
        <v>43</v>
      </c>
      <c r="E175" s="4" t="s">
        <v>105</v>
      </c>
      <c r="F175" s="4" t="s">
        <v>106</v>
      </c>
      <c r="G175" s="4" t="s">
        <v>46</v>
      </c>
      <c r="H175" s="38">
        <v>2</v>
      </c>
      <c r="I175" s="4">
        <v>299.99</v>
      </c>
      <c r="J175" s="4" t="s">
        <v>20</v>
      </c>
      <c r="K175" s="4" t="s">
        <v>50</v>
      </c>
      <c r="L175" s="4" t="s">
        <v>22</v>
      </c>
      <c r="M175" s="8">
        <v>44771</v>
      </c>
      <c r="N175" s="34">
        <v>599.98</v>
      </c>
      <c r="O175" s="4">
        <f ca="1">DATEDIF(Table1[[#This Row],[Customer_Since]],TODAY(),"Y")</f>
        <v>3</v>
      </c>
      <c r="P175" s="12">
        <f ca="1">DATEDIF(Table1[[#This Row],[Date]],TODAY(),"M")</f>
        <v>14</v>
      </c>
      <c r="Q175" s="12" t="str">
        <f ca="1">IF(Table1[[#This Row],[Months_Since_Purchase]]&gt;12,"Inactive","Active")</f>
        <v>Inactive</v>
      </c>
      <c r="R175" s="14">
        <f>EOMONTH(Table1[[#This Row],[Date]],0)</f>
        <v>45657</v>
      </c>
      <c r="S175" s="13" t="str">
        <f>IF(Table1[[#This Row],[Total_Amount]]&gt;=700,"High",
 IF(Table1[[#This Row],[Total_Amount]]&gt;=300,"Medium","Low"))</f>
        <v>Medium</v>
      </c>
      <c r="T175" s="13">
        <f>Table1[[#This Row],[Total_Amount]]*(1-$AC$8)*0.3</f>
        <v>130.88998953586923</v>
      </c>
      <c r="U175" s="13">
        <f t="shared" si="4"/>
        <v>6169.7400000000007</v>
      </c>
      <c r="V175" s="13" t="str">
        <f>IF(Table1[[#This Row],[Customer_Total_Spend]]&gt;5000,"Yes","No")</f>
        <v>Yes</v>
      </c>
      <c r="W175" s="13">
        <f t="shared" si="5"/>
        <v>26</v>
      </c>
    </row>
    <row r="176" spans="1:23" ht="15" thickBot="1" x14ac:dyDescent="0.35">
      <c r="A176" s="3" t="s">
        <v>319</v>
      </c>
      <c r="B176" s="8">
        <v>45654</v>
      </c>
      <c r="C176" s="4" t="s">
        <v>120</v>
      </c>
      <c r="D176" s="4" t="s">
        <v>121</v>
      </c>
      <c r="E176" s="4" t="s">
        <v>126</v>
      </c>
      <c r="F176" s="4" t="s">
        <v>127</v>
      </c>
      <c r="G176" s="4" t="s">
        <v>46</v>
      </c>
      <c r="H176" s="38">
        <v>4</v>
      </c>
      <c r="I176" s="4">
        <v>199.99</v>
      </c>
      <c r="J176" s="4" t="s">
        <v>26</v>
      </c>
      <c r="K176" s="4" t="s">
        <v>21</v>
      </c>
      <c r="L176" s="4" t="s">
        <v>22</v>
      </c>
      <c r="M176" s="8">
        <v>44523</v>
      </c>
      <c r="N176" s="34">
        <v>799.96</v>
      </c>
      <c r="O176" s="4">
        <f ca="1">DATEDIF(Table1[[#This Row],[Customer_Since]],TODAY(),"Y")</f>
        <v>4</v>
      </c>
      <c r="P176" s="12">
        <f ca="1">DATEDIF(Table1[[#This Row],[Date]],TODAY(),"M")</f>
        <v>14</v>
      </c>
      <c r="Q176" s="12" t="str">
        <f ca="1">IF(Table1[[#This Row],[Months_Since_Purchase]]&gt;12,"Inactive","Active")</f>
        <v>Inactive</v>
      </c>
      <c r="R176" s="14">
        <f>EOMONTH(Table1[[#This Row],[Date]],0)</f>
        <v>45657</v>
      </c>
      <c r="S176" s="13" t="str">
        <f>IF(Table1[[#This Row],[Total_Amount]]&gt;=700,"High",
 IF(Table1[[#This Row],[Total_Amount]]&gt;=300,"Medium","Low"))</f>
        <v>High</v>
      </c>
      <c r="T176" s="13">
        <f>Table1[[#This Row],[Total_Amount]]*(1-$AC$8)*0.3</f>
        <v>174.51707728443276</v>
      </c>
      <c r="U176" s="13">
        <f t="shared" si="4"/>
        <v>6459.79</v>
      </c>
      <c r="V176" s="13" t="str">
        <f>IF(Table1[[#This Row],[Customer_Total_Spend]]&gt;5000,"Yes","No")</f>
        <v>Yes</v>
      </c>
      <c r="W176" s="13">
        <f t="shared" si="5"/>
        <v>15</v>
      </c>
    </row>
    <row r="177" spans="1:23" ht="15" thickBot="1" x14ac:dyDescent="0.35">
      <c r="A177" s="3" t="s">
        <v>320</v>
      </c>
      <c r="B177" s="8">
        <v>45655</v>
      </c>
      <c r="C177" s="4" t="s">
        <v>59</v>
      </c>
      <c r="D177" s="4" t="s">
        <v>60</v>
      </c>
      <c r="E177" s="4" t="s">
        <v>117</v>
      </c>
      <c r="F177" s="4" t="s">
        <v>118</v>
      </c>
      <c r="G177" s="4" t="s">
        <v>19</v>
      </c>
      <c r="H177" s="38">
        <v>1</v>
      </c>
      <c r="I177" s="4">
        <v>89.99</v>
      </c>
      <c r="J177" s="4" t="s">
        <v>26</v>
      </c>
      <c r="K177" s="4" t="s">
        <v>35</v>
      </c>
      <c r="L177" s="4" t="s">
        <v>27</v>
      </c>
      <c r="M177" s="8">
        <v>44591</v>
      </c>
      <c r="N177" s="34">
        <v>89.99</v>
      </c>
      <c r="O177" s="4">
        <f ca="1">DATEDIF(Table1[[#This Row],[Customer_Since]],TODAY(),"Y")</f>
        <v>4</v>
      </c>
      <c r="P177" s="12">
        <f ca="1">DATEDIF(Table1[[#This Row],[Date]],TODAY(),"M")</f>
        <v>14</v>
      </c>
      <c r="Q177" s="12" t="str">
        <f ca="1">IF(Table1[[#This Row],[Months_Since_Purchase]]&gt;12,"Inactive","Active")</f>
        <v>Inactive</v>
      </c>
      <c r="R177" s="14">
        <f>EOMONTH(Table1[[#This Row],[Date]],0)</f>
        <v>45657</v>
      </c>
      <c r="S177" s="13" t="str">
        <f>IF(Table1[[#This Row],[Total_Amount]]&gt;=700,"High",
 IF(Table1[[#This Row],[Total_Amount]]&gt;=300,"Medium","Low"))</f>
        <v>Low</v>
      </c>
      <c r="T177" s="13">
        <f>Table1[[#This Row],[Total_Amount]]*(1-$AC$8)*0.3</f>
        <v>19.631971329599107</v>
      </c>
      <c r="U177" s="13">
        <f t="shared" si="4"/>
        <v>3509.8999999999996</v>
      </c>
      <c r="V177" s="13" t="str">
        <f>IF(Table1[[#This Row],[Customer_Total_Spend]]&gt;5000,"Yes","No")</f>
        <v>No</v>
      </c>
      <c r="W177" s="13">
        <f t="shared" si="5"/>
        <v>34</v>
      </c>
    </row>
    <row r="178" spans="1:23" ht="15" thickBot="1" x14ac:dyDescent="0.35">
      <c r="A178" s="3" t="s">
        <v>321</v>
      </c>
      <c r="B178" s="8">
        <v>45655</v>
      </c>
      <c r="C178" s="4" t="s">
        <v>108</v>
      </c>
      <c r="D178" s="4" t="s">
        <v>109</v>
      </c>
      <c r="E178" s="4" t="s">
        <v>44</v>
      </c>
      <c r="F178" s="4" t="s">
        <v>45</v>
      </c>
      <c r="G178" s="4" t="s">
        <v>46</v>
      </c>
      <c r="H178" s="38">
        <v>5</v>
      </c>
      <c r="I178" s="4">
        <v>149.99</v>
      </c>
      <c r="J178" s="4" t="s">
        <v>20</v>
      </c>
      <c r="K178" s="4" t="s">
        <v>21</v>
      </c>
      <c r="L178" s="4" t="s">
        <v>27</v>
      </c>
      <c r="M178" s="8">
        <v>45347</v>
      </c>
      <c r="N178" s="34">
        <v>749.95</v>
      </c>
      <c r="O178" s="4">
        <f ca="1">DATEDIF(Table1[[#This Row],[Customer_Since]],TODAY(),"Y")</f>
        <v>2</v>
      </c>
      <c r="P178" s="12">
        <f ca="1">DATEDIF(Table1[[#This Row],[Date]],TODAY(),"M")</f>
        <v>14</v>
      </c>
      <c r="Q178" s="12" t="str">
        <f ca="1">IF(Table1[[#This Row],[Months_Since_Purchase]]&gt;12,"Inactive","Active")</f>
        <v>Inactive</v>
      </c>
      <c r="R178" s="14">
        <f>EOMONTH(Table1[[#This Row],[Date]],0)</f>
        <v>45657</v>
      </c>
      <c r="S178" s="13" t="str">
        <f>IF(Table1[[#This Row],[Total_Amount]]&gt;=700,"High",
 IF(Table1[[#This Row],[Total_Amount]]&gt;=300,"Medium","Low"))</f>
        <v>High</v>
      </c>
      <c r="T178" s="13">
        <f>Table1[[#This Row],[Total_Amount]]*(1-$AC$8)*0.3</f>
        <v>163.60703298847483</v>
      </c>
      <c r="U178" s="13">
        <f t="shared" si="4"/>
        <v>4189.7700000000004</v>
      </c>
      <c r="V178" s="13" t="str">
        <f>IF(Table1[[#This Row],[Customer_Total_Spend]]&gt;5000,"Yes","No")</f>
        <v>No</v>
      </c>
      <c r="W178" s="13">
        <f t="shared" si="5"/>
        <v>35</v>
      </c>
    </row>
    <row r="179" spans="1:23" ht="15" thickBot="1" x14ac:dyDescent="0.35">
      <c r="A179" s="3" t="s">
        <v>322</v>
      </c>
      <c r="B179" s="8">
        <v>45657</v>
      </c>
      <c r="C179" s="4" t="s">
        <v>86</v>
      </c>
      <c r="D179" s="4" t="s">
        <v>87</v>
      </c>
      <c r="E179" s="4" t="s">
        <v>61</v>
      </c>
      <c r="F179" s="4" t="s">
        <v>62</v>
      </c>
      <c r="G179" s="4" t="s">
        <v>19</v>
      </c>
      <c r="H179" s="38">
        <v>1</v>
      </c>
      <c r="I179" s="4">
        <v>899.99</v>
      </c>
      <c r="J179" s="4" t="s">
        <v>34</v>
      </c>
      <c r="K179" s="4" t="s">
        <v>40</v>
      </c>
      <c r="L179" s="4" t="s">
        <v>27</v>
      </c>
      <c r="M179" s="8">
        <v>45050</v>
      </c>
      <c r="N179" s="34">
        <v>899.99</v>
      </c>
      <c r="O179" s="4">
        <f ca="1">DATEDIF(Table1[[#This Row],[Customer_Since]],TODAY(),"Y")</f>
        <v>2</v>
      </c>
      <c r="P179" s="12">
        <f ca="1">DATEDIF(Table1[[#This Row],[Date]],TODAY(),"M")</f>
        <v>14</v>
      </c>
      <c r="Q179" s="12" t="str">
        <f ca="1">IF(Table1[[#This Row],[Months_Since_Purchase]]&gt;12,"Inactive","Active")</f>
        <v>Inactive</v>
      </c>
      <c r="R179" s="14">
        <f>EOMONTH(Table1[[#This Row],[Date]],0)</f>
        <v>45657</v>
      </c>
      <c r="S179" s="13" t="str">
        <f>IF(Table1[[#This Row],[Total_Amount]]&gt;=700,"High",
 IF(Table1[[#This Row],[Total_Amount]]&gt;=300,"Medium","Low"))</f>
        <v>High</v>
      </c>
      <c r="T179" s="13">
        <f>Table1[[#This Row],[Total_Amount]]*(1-$AC$8)*0.3</f>
        <v>196.33934744889322</v>
      </c>
      <c r="U179" s="13">
        <f t="shared" si="4"/>
        <v>15659.65</v>
      </c>
      <c r="V179" s="13" t="str">
        <f>IF(Table1[[#This Row],[Customer_Total_Spend]]&gt;5000,"Yes","No")</f>
        <v>Yes</v>
      </c>
      <c r="W179" s="13">
        <f t="shared" si="5"/>
        <v>24</v>
      </c>
    </row>
    <row r="180" spans="1:23" ht="15" thickBot="1" x14ac:dyDescent="0.35">
      <c r="A180" s="3" t="s">
        <v>323</v>
      </c>
      <c r="B180" s="8">
        <v>45660</v>
      </c>
      <c r="C180" s="4" t="s">
        <v>147</v>
      </c>
      <c r="D180" s="4" t="s">
        <v>148</v>
      </c>
      <c r="E180" s="4" t="s">
        <v>117</v>
      </c>
      <c r="F180" s="4" t="s">
        <v>118</v>
      </c>
      <c r="G180" s="4" t="s">
        <v>19</v>
      </c>
      <c r="H180" s="38">
        <v>2</v>
      </c>
      <c r="I180" s="4">
        <v>89.99</v>
      </c>
      <c r="J180" s="4" t="s">
        <v>26</v>
      </c>
      <c r="K180" s="4" t="s">
        <v>35</v>
      </c>
      <c r="L180" s="4" t="s">
        <v>27</v>
      </c>
      <c r="M180" s="8">
        <v>44564</v>
      </c>
      <c r="N180" s="34">
        <v>179.98</v>
      </c>
      <c r="O180" s="4">
        <f ca="1">DATEDIF(Table1[[#This Row],[Customer_Since]],TODAY(),"Y")</f>
        <v>4</v>
      </c>
      <c r="P180" s="12">
        <f ca="1">DATEDIF(Table1[[#This Row],[Date]],TODAY(),"M")</f>
        <v>14</v>
      </c>
      <c r="Q180" s="12" t="str">
        <f ca="1">IF(Table1[[#This Row],[Months_Since_Purchase]]&gt;12,"Inactive","Active")</f>
        <v>Inactive</v>
      </c>
      <c r="R180" s="14">
        <f>EOMONTH(Table1[[#This Row],[Date]],0)</f>
        <v>45688</v>
      </c>
      <c r="S180" s="13" t="str">
        <f>IF(Table1[[#This Row],[Total_Amount]]&gt;=700,"High",
 IF(Table1[[#This Row],[Total_Amount]]&gt;=300,"Medium","Low"))</f>
        <v>Low</v>
      </c>
      <c r="T180" s="13">
        <f>Table1[[#This Row],[Total_Amount]]*(1-$AC$8)*0.3</f>
        <v>39.263942659198214</v>
      </c>
      <c r="U180" s="13">
        <f t="shared" si="4"/>
        <v>7309.7999999999993</v>
      </c>
      <c r="V180" s="13" t="str">
        <f>IF(Table1[[#This Row],[Customer_Total_Spend]]&gt;5000,"Yes","No")</f>
        <v>Yes</v>
      </c>
      <c r="W180" s="13">
        <f t="shared" si="5"/>
        <v>34</v>
      </c>
    </row>
    <row r="181" spans="1:23" ht="15" thickBot="1" x14ac:dyDescent="0.35">
      <c r="A181" s="3" t="s">
        <v>324</v>
      </c>
      <c r="B181" s="8">
        <v>45661</v>
      </c>
      <c r="C181" s="4" t="s">
        <v>325</v>
      </c>
      <c r="D181" s="4" t="s">
        <v>326</v>
      </c>
      <c r="E181" s="4" t="s">
        <v>61</v>
      </c>
      <c r="F181" s="4" t="s">
        <v>62</v>
      </c>
      <c r="G181" s="4" t="s">
        <v>19</v>
      </c>
      <c r="H181" s="38">
        <v>1</v>
      </c>
      <c r="I181" s="4">
        <v>899.99</v>
      </c>
      <c r="J181" s="4" t="s">
        <v>34</v>
      </c>
      <c r="K181" s="4" t="s">
        <v>40</v>
      </c>
      <c r="L181" s="4" t="s">
        <v>36</v>
      </c>
      <c r="M181" s="8">
        <v>44752</v>
      </c>
      <c r="N181" s="34">
        <v>899.99</v>
      </c>
      <c r="O181" s="4">
        <f ca="1">DATEDIF(Table1[[#This Row],[Customer_Since]],TODAY(),"Y")</f>
        <v>3</v>
      </c>
      <c r="P181" s="12">
        <f ca="1">DATEDIF(Table1[[#This Row],[Date]],TODAY(),"M")</f>
        <v>14</v>
      </c>
      <c r="Q181" s="12" t="str">
        <f ca="1">IF(Table1[[#This Row],[Months_Since_Purchase]]&gt;12,"Inactive","Active")</f>
        <v>Inactive</v>
      </c>
      <c r="R181" s="14">
        <f>EOMONTH(Table1[[#This Row],[Date]],0)</f>
        <v>45688</v>
      </c>
      <c r="S181" s="13" t="str">
        <f>IF(Table1[[#This Row],[Total_Amount]]&gt;=700,"High",
 IF(Table1[[#This Row],[Total_Amount]]&gt;=300,"Medium","Low"))</f>
        <v>High</v>
      </c>
      <c r="T181" s="13">
        <f>Table1[[#This Row],[Total_Amount]]*(1-$AC$8)*0.3</f>
        <v>196.33934744889322</v>
      </c>
      <c r="U181" s="13">
        <f t="shared" si="4"/>
        <v>1559.94</v>
      </c>
      <c r="V181" s="13" t="str">
        <f>IF(Table1[[#This Row],[Customer_Total_Spend]]&gt;5000,"Yes","No")</f>
        <v>No</v>
      </c>
      <c r="W181" s="13">
        <f t="shared" si="5"/>
        <v>24</v>
      </c>
    </row>
    <row r="182" spans="1:23" ht="15" thickBot="1" x14ac:dyDescent="0.35">
      <c r="A182" s="3" t="s">
        <v>327</v>
      </c>
      <c r="B182" s="8">
        <v>45663</v>
      </c>
      <c r="C182" s="4" t="s">
        <v>129</v>
      </c>
      <c r="D182" s="4" t="s">
        <v>130</v>
      </c>
      <c r="E182" s="4" t="s">
        <v>52</v>
      </c>
      <c r="F182" s="4" t="s">
        <v>53</v>
      </c>
      <c r="G182" s="4" t="s">
        <v>19</v>
      </c>
      <c r="H182" s="38">
        <v>5</v>
      </c>
      <c r="I182" s="4">
        <v>149.99</v>
      </c>
      <c r="J182" s="4" t="s">
        <v>34</v>
      </c>
      <c r="K182" s="4" t="s">
        <v>63</v>
      </c>
      <c r="L182" s="4" t="s">
        <v>27</v>
      </c>
      <c r="M182" s="8">
        <v>44824</v>
      </c>
      <c r="N182" s="34">
        <v>749.95</v>
      </c>
      <c r="O182" s="4">
        <f ca="1">DATEDIF(Table1[[#This Row],[Customer_Since]],TODAY(),"Y")</f>
        <v>3</v>
      </c>
      <c r="P182" s="12">
        <f ca="1">DATEDIF(Table1[[#This Row],[Date]],TODAY(),"M")</f>
        <v>13</v>
      </c>
      <c r="Q182" s="12" t="str">
        <f ca="1">IF(Table1[[#This Row],[Months_Since_Purchase]]&gt;12,"Inactive","Active")</f>
        <v>Inactive</v>
      </c>
      <c r="R182" s="14">
        <f>EOMONTH(Table1[[#This Row],[Date]],0)</f>
        <v>45688</v>
      </c>
      <c r="S182" s="13" t="str">
        <f>IF(Table1[[#This Row],[Total_Amount]]&gt;=700,"High",
 IF(Table1[[#This Row],[Total_Amount]]&gt;=300,"Medium","Low"))</f>
        <v>High</v>
      </c>
      <c r="T182" s="13">
        <f>Table1[[#This Row],[Total_Amount]]*(1-$AC$8)*0.3</f>
        <v>163.60703298847483</v>
      </c>
      <c r="U182" s="13">
        <f t="shared" si="4"/>
        <v>2039.8000000000002</v>
      </c>
      <c r="V182" s="13" t="str">
        <f>IF(Table1[[#This Row],[Customer_Total_Spend]]&gt;5000,"Yes","No")</f>
        <v>No</v>
      </c>
      <c r="W182" s="13">
        <f t="shared" si="5"/>
        <v>16</v>
      </c>
    </row>
    <row r="183" spans="1:23" ht="15" thickBot="1" x14ac:dyDescent="0.35">
      <c r="A183" s="3" t="s">
        <v>328</v>
      </c>
      <c r="B183" s="8">
        <v>45663</v>
      </c>
      <c r="C183" s="4" t="s">
        <v>42</v>
      </c>
      <c r="D183" s="4" t="s">
        <v>43</v>
      </c>
      <c r="E183" s="4" t="s">
        <v>105</v>
      </c>
      <c r="F183" s="4" t="s">
        <v>106</v>
      </c>
      <c r="G183" s="4" t="s">
        <v>46</v>
      </c>
      <c r="H183" s="38">
        <v>3</v>
      </c>
      <c r="I183" s="4">
        <v>299.99</v>
      </c>
      <c r="J183" s="4" t="s">
        <v>20</v>
      </c>
      <c r="K183" s="4" t="s">
        <v>35</v>
      </c>
      <c r="L183" s="4" t="s">
        <v>36</v>
      </c>
      <c r="M183" s="8">
        <v>44422</v>
      </c>
      <c r="N183" s="34">
        <v>899.97</v>
      </c>
      <c r="O183" s="4">
        <f ca="1">DATEDIF(Table1[[#This Row],[Customer_Since]],TODAY(),"Y")</f>
        <v>4</v>
      </c>
      <c r="P183" s="12">
        <f ca="1">DATEDIF(Table1[[#This Row],[Date]],TODAY(),"M")</f>
        <v>13</v>
      </c>
      <c r="Q183" s="12" t="str">
        <f ca="1">IF(Table1[[#This Row],[Months_Since_Purchase]]&gt;12,"Inactive","Active")</f>
        <v>Inactive</v>
      </c>
      <c r="R183" s="14">
        <f>EOMONTH(Table1[[#This Row],[Date]],0)</f>
        <v>45688</v>
      </c>
      <c r="S183" s="13" t="str">
        <f>IF(Table1[[#This Row],[Total_Amount]]&gt;=700,"High",
 IF(Table1[[#This Row],[Total_Amount]]&gt;=300,"Medium","Low"))</f>
        <v>High</v>
      </c>
      <c r="T183" s="13">
        <f>Table1[[#This Row],[Total_Amount]]*(1-$AC$8)*0.3</f>
        <v>196.33498430380385</v>
      </c>
      <c r="U183" s="13">
        <f t="shared" si="4"/>
        <v>6169.7400000000007</v>
      </c>
      <c r="V183" s="13" t="str">
        <f>IF(Table1[[#This Row],[Customer_Total_Spend]]&gt;5000,"Yes","No")</f>
        <v>Yes</v>
      </c>
      <c r="W183" s="13">
        <f t="shared" si="5"/>
        <v>26</v>
      </c>
    </row>
    <row r="184" spans="1:23" ht="15" thickBot="1" x14ac:dyDescent="0.35">
      <c r="A184" s="3" t="s">
        <v>329</v>
      </c>
      <c r="B184" s="8">
        <v>45666</v>
      </c>
      <c r="C184" s="4" t="s">
        <v>65</v>
      </c>
      <c r="D184" s="4" t="s">
        <v>66</v>
      </c>
      <c r="E184" s="4" t="s">
        <v>80</v>
      </c>
      <c r="F184" s="4" t="s">
        <v>81</v>
      </c>
      <c r="G184" s="4" t="s">
        <v>19</v>
      </c>
      <c r="H184" s="38">
        <v>3</v>
      </c>
      <c r="I184" s="4">
        <v>699.99</v>
      </c>
      <c r="J184" s="4" t="s">
        <v>26</v>
      </c>
      <c r="K184" s="4" t="s">
        <v>21</v>
      </c>
      <c r="L184" s="4" t="s">
        <v>27</v>
      </c>
      <c r="M184" s="8">
        <v>45105</v>
      </c>
      <c r="N184" s="34">
        <v>2099.9699999999998</v>
      </c>
      <c r="O184" s="4">
        <f ca="1">DATEDIF(Table1[[#This Row],[Customer_Since]],TODAY(),"Y")</f>
        <v>2</v>
      </c>
      <c r="P184" s="12">
        <f ca="1">DATEDIF(Table1[[#This Row],[Date]],TODAY(),"M")</f>
        <v>13</v>
      </c>
      <c r="Q184" s="12" t="str">
        <f ca="1">IF(Table1[[#This Row],[Months_Since_Purchase]]&gt;12,"Inactive","Active")</f>
        <v>Inactive</v>
      </c>
      <c r="R184" s="14">
        <f>EOMONTH(Table1[[#This Row],[Date]],0)</f>
        <v>45688</v>
      </c>
      <c r="S184" s="13" t="str">
        <f>IF(Table1[[#This Row],[Total_Amount]]&gt;=700,"High",
 IF(Table1[[#This Row],[Total_Amount]]&gt;=300,"Medium","Low"))</f>
        <v>High</v>
      </c>
      <c r="T184" s="13">
        <f>Table1[[#This Row],[Total_Amount]]*(1-$AC$8)*0.3</f>
        <v>458.12368966572097</v>
      </c>
      <c r="U184" s="13">
        <f t="shared" si="4"/>
        <v>8009.7699999999995</v>
      </c>
      <c r="V184" s="13" t="str">
        <f>IF(Table1[[#This Row],[Customer_Total_Spend]]&gt;5000,"Yes","No")</f>
        <v>Yes</v>
      </c>
      <c r="W184" s="13">
        <f t="shared" si="5"/>
        <v>31</v>
      </c>
    </row>
    <row r="185" spans="1:23" ht="15" thickBot="1" x14ac:dyDescent="0.35">
      <c r="A185" s="3" t="s">
        <v>330</v>
      </c>
      <c r="B185" s="8">
        <v>45667</v>
      </c>
      <c r="C185" s="4" t="s">
        <v>108</v>
      </c>
      <c r="D185" s="4" t="s">
        <v>109</v>
      </c>
      <c r="E185" s="4" t="s">
        <v>126</v>
      </c>
      <c r="F185" s="4" t="s">
        <v>127</v>
      </c>
      <c r="G185" s="4" t="s">
        <v>46</v>
      </c>
      <c r="H185" s="38">
        <v>5</v>
      </c>
      <c r="I185" s="4">
        <v>199.99</v>
      </c>
      <c r="J185" s="4" t="s">
        <v>34</v>
      </c>
      <c r="K185" s="4" t="s">
        <v>21</v>
      </c>
      <c r="L185" s="4" t="s">
        <v>36</v>
      </c>
      <c r="M185" s="8">
        <v>44633</v>
      </c>
      <c r="N185" s="34">
        <v>999.95</v>
      </c>
      <c r="O185" s="4">
        <f ca="1">DATEDIF(Table1[[#This Row],[Customer_Since]],TODAY(),"Y")</f>
        <v>3</v>
      </c>
      <c r="P185" s="12">
        <f ca="1">DATEDIF(Table1[[#This Row],[Date]],TODAY(),"M")</f>
        <v>13</v>
      </c>
      <c r="Q185" s="12" t="str">
        <f ca="1">IF(Table1[[#This Row],[Months_Since_Purchase]]&gt;12,"Inactive","Active")</f>
        <v>Inactive</v>
      </c>
      <c r="R185" s="14">
        <f>EOMONTH(Table1[[#This Row],[Date]],0)</f>
        <v>45688</v>
      </c>
      <c r="S185" s="13" t="str">
        <f>IF(Table1[[#This Row],[Total_Amount]]&gt;=700,"High",
 IF(Table1[[#This Row],[Total_Amount]]&gt;=300,"Medium","Low"))</f>
        <v>High</v>
      </c>
      <c r="T185" s="13">
        <f>Table1[[#This Row],[Total_Amount]]*(1-$AC$8)*0.3</f>
        <v>218.14634660554094</v>
      </c>
      <c r="U185" s="13">
        <f t="shared" si="4"/>
        <v>4189.7700000000004</v>
      </c>
      <c r="V185" s="13" t="str">
        <f>IF(Table1[[#This Row],[Customer_Total_Spend]]&gt;5000,"Yes","No")</f>
        <v>No</v>
      </c>
      <c r="W185" s="13">
        <f t="shared" si="5"/>
        <v>15</v>
      </c>
    </row>
    <row r="186" spans="1:23" ht="15" thickBot="1" x14ac:dyDescent="0.35">
      <c r="A186" s="3" t="s">
        <v>331</v>
      </c>
      <c r="B186" s="8">
        <v>45667</v>
      </c>
      <c r="C186" s="4" t="s">
        <v>93</v>
      </c>
      <c r="D186" s="4" t="s">
        <v>94</v>
      </c>
      <c r="E186" s="4" t="s">
        <v>17</v>
      </c>
      <c r="F186" s="4" t="s">
        <v>18</v>
      </c>
      <c r="G186" s="4" t="s">
        <v>19</v>
      </c>
      <c r="H186" s="38">
        <v>5</v>
      </c>
      <c r="I186" s="4">
        <v>249.99</v>
      </c>
      <c r="J186" s="4" t="s">
        <v>26</v>
      </c>
      <c r="K186" s="4" t="s">
        <v>35</v>
      </c>
      <c r="L186" s="4" t="s">
        <v>22</v>
      </c>
      <c r="M186" s="8">
        <v>45330</v>
      </c>
      <c r="N186" s="34">
        <v>1249.95</v>
      </c>
      <c r="O186" s="4">
        <f ca="1">DATEDIF(Table1[[#This Row],[Customer_Since]],TODAY(),"Y")</f>
        <v>2</v>
      </c>
      <c r="P186" s="12">
        <f ca="1">DATEDIF(Table1[[#This Row],[Date]],TODAY(),"M")</f>
        <v>13</v>
      </c>
      <c r="Q186" s="12" t="str">
        <f ca="1">IF(Table1[[#This Row],[Months_Since_Purchase]]&gt;12,"Inactive","Active")</f>
        <v>Inactive</v>
      </c>
      <c r="R186" s="14">
        <f>EOMONTH(Table1[[#This Row],[Date]],0)</f>
        <v>45688</v>
      </c>
      <c r="S186" s="13" t="str">
        <f>IF(Table1[[#This Row],[Total_Amount]]&gt;=700,"High",
 IF(Table1[[#This Row],[Total_Amount]]&gt;=300,"Medium","Low"))</f>
        <v>High</v>
      </c>
      <c r="T186" s="13">
        <f>Table1[[#This Row],[Total_Amount]]*(1-$AC$8)*0.3</f>
        <v>272.685660222607</v>
      </c>
      <c r="U186" s="13">
        <f t="shared" si="4"/>
        <v>4789.7900000000009</v>
      </c>
      <c r="V186" s="13" t="str">
        <f>IF(Table1[[#This Row],[Customer_Total_Spend]]&gt;5000,"Yes","No")</f>
        <v>No</v>
      </c>
      <c r="W186" s="13">
        <f t="shared" si="5"/>
        <v>26</v>
      </c>
    </row>
    <row r="187" spans="1:23" ht="15" thickBot="1" x14ac:dyDescent="0.35">
      <c r="A187" s="3" t="s">
        <v>332</v>
      </c>
      <c r="B187" s="8">
        <v>45668</v>
      </c>
      <c r="C187" s="4" t="s">
        <v>138</v>
      </c>
      <c r="D187" s="4" t="s">
        <v>139</v>
      </c>
      <c r="E187" s="4" t="s">
        <v>52</v>
      </c>
      <c r="F187" s="4" t="s">
        <v>53</v>
      </c>
      <c r="G187" s="4" t="s">
        <v>19</v>
      </c>
      <c r="H187" s="38">
        <v>4</v>
      </c>
      <c r="I187" s="4">
        <v>149.99</v>
      </c>
      <c r="J187" s="4" t="s">
        <v>57</v>
      </c>
      <c r="K187" s="4" t="s">
        <v>63</v>
      </c>
      <c r="L187" s="4" t="s">
        <v>36</v>
      </c>
      <c r="M187" s="8">
        <v>44536</v>
      </c>
      <c r="N187" s="34">
        <v>599.96</v>
      </c>
      <c r="O187" s="4">
        <f ca="1">DATEDIF(Table1[[#This Row],[Customer_Since]],TODAY(),"Y")</f>
        <v>4</v>
      </c>
      <c r="P187" s="12">
        <f ca="1">DATEDIF(Table1[[#This Row],[Date]],TODAY(),"M")</f>
        <v>13</v>
      </c>
      <c r="Q187" s="12" t="str">
        <f ca="1">IF(Table1[[#This Row],[Months_Since_Purchase]]&gt;12,"Inactive","Active")</f>
        <v>Inactive</v>
      </c>
      <c r="R187" s="14">
        <f>EOMONTH(Table1[[#This Row],[Date]],0)</f>
        <v>45688</v>
      </c>
      <c r="S187" s="13" t="str">
        <f>IF(Table1[[#This Row],[Total_Amount]]&gt;=700,"High",
 IF(Table1[[#This Row],[Total_Amount]]&gt;=300,"Medium","Low"))</f>
        <v>Medium</v>
      </c>
      <c r="T187" s="13">
        <f>Table1[[#This Row],[Total_Amount]]*(1-$AC$8)*0.3</f>
        <v>130.88562639077986</v>
      </c>
      <c r="U187" s="13">
        <f t="shared" si="4"/>
        <v>2649.83</v>
      </c>
      <c r="V187" s="13" t="str">
        <f>IF(Table1[[#This Row],[Customer_Total_Spend]]&gt;5000,"Yes","No")</f>
        <v>No</v>
      </c>
      <c r="W187" s="13">
        <f t="shared" si="5"/>
        <v>16</v>
      </c>
    </row>
    <row r="188" spans="1:23" ht="15" thickBot="1" x14ac:dyDescent="0.35">
      <c r="A188" s="3" t="s">
        <v>333</v>
      </c>
      <c r="B188" s="8">
        <v>45668</v>
      </c>
      <c r="C188" s="4" t="s">
        <v>78</v>
      </c>
      <c r="D188" s="4" t="s">
        <v>79</v>
      </c>
      <c r="E188" s="4" t="s">
        <v>80</v>
      </c>
      <c r="F188" s="4" t="s">
        <v>81</v>
      </c>
      <c r="G188" s="4" t="s">
        <v>19</v>
      </c>
      <c r="H188" s="38">
        <v>3</v>
      </c>
      <c r="I188" s="4">
        <v>699.99</v>
      </c>
      <c r="J188" s="4" t="s">
        <v>20</v>
      </c>
      <c r="K188" s="4" t="s">
        <v>40</v>
      </c>
      <c r="L188" s="4" t="s">
        <v>27</v>
      </c>
      <c r="M188" s="8">
        <v>44602</v>
      </c>
      <c r="N188" s="34">
        <v>2099.9699999999998</v>
      </c>
      <c r="O188" s="4">
        <f ca="1">DATEDIF(Table1[[#This Row],[Customer_Since]],TODAY(),"Y")</f>
        <v>4</v>
      </c>
      <c r="P188" s="12">
        <f ca="1">DATEDIF(Table1[[#This Row],[Date]],TODAY(),"M")</f>
        <v>13</v>
      </c>
      <c r="Q188" s="12" t="str">
        <f ca="1">IF(Table1[[#This Row],[Months_Since_Purchase]]&gt;12,"Inactive","Active")</f>
        <v>Inactive</v>
      </c>
      <c r="R188" s="14">
        <f>EOMONTH(Table1[[#This Row],[Date]],0)</f>
        <v>45688</v>
      </c>
      <c r="S188" s="13" t="str">
        <f>IF(Table1[[#This Row],[Total_Amount]]&gt;=700,"High",
 IF(Table1[[#This Row],[Total_Amount]]&gt;=300,"Medium","Low"))</f>
        <v>High</v>
      </c>
      <c r="T188" s="13">
        <f>Table1[[#This Row],[Total_Amount]]*(1-$AC$8)*0.3</f>
        <v>458.12368966572097</v>
      </c>
      <c r="U188" s="13">
        <f t="shared" si="4"/>
        <v>4199.9399999999996</v>
      </c>
      <c r="V188" s="13" t="str">
        <f>IF(Table1[[#This Row],[Customer_Total_Spend]]&gt;5000,"Yes","No")</f>
        <v>No</v>
      </c>
      <c r="W188" s="13">
        <f t="shared" si="5"/>
        <v>31</v>
      </c>
    </row>
    <row r="189" spans="1:23" ht="15" thickBot="1" x14ac:dyDescent="0.35">
      <c r="A189" s="3" t="s">
        <v>334</v>
      </c>
      <c r="B189" s="8">
        <v>45670</v>
      </c>
      <c r="C189" s="4" t="s">
        <v>293</v>
      </c>
      <c r="D189" s="4" t="s">
        <v>294</v>
      </c>
      <c r="E189" s="4" t="s">
        <v>114</v>
      </c>
      <c r="F189" s="4" t="s">
        <v>115</v>
      </c>
      <c r="G189" s="4" t="s">
        <v>33</v>
      </c>
      <c r="H189" s="38">
        <v>1</v>
      </c>
      <c r="I189" s="4">
        <v>79.989999999999995</v>
      </c>
      <c r="J189" s="4" t="s">
        <v>26</v>
      </c>
      <c r="K189" s="4" t="s">
        <v>35</v>
      </c>
      <c r="L189" s="4" t="s">
        <v>22</v>
      </c>
      <c r="M189" s="8">
        <v>45322</v>
      </c>
      <c r="N189" s="34">
        <v>79.989999999999995</v>
      </c>
      <c r="O189" s="4">
        <f ca="1">DATEDIF(Table1[[#This Row],[Customer_Since]],TODAY(),"Y")</f>
        <v>2</v>
      </c>
      <c r="P189" s="12">
        <f ca="1">DATEDIF(Table1[[#This Row],[Date]],TODAY(),"M")</f>
        <v>13</v>
      </c>
      <c r="Q189" s="12" t="str">
        <f ca="1">IF(Table1[[#This Row],[Months_Since_Purchase]]&gt;12,"Inactive","Active")</f>
        <v>Inactive</v>
      </c>
      <c r="R189" s="14">
        <f>EOMONTH(Table1[[#This Row],[Date]],0)</f>
        <v>45688</v>
      </c>
      <c r="S189" s="13" t="str">
        <f>IF(Table1[[#This Row],[Total_Amount]]&gt;=700,"High",
 IF(Table1[[#This Row],[Total_Amount]]&gt;=300,"Medium","Low"))</f>
        <v>Low</v>
      </c>
      <c r="T189" s="13">
        <f>Table1[[#This Row],[Total_Amount]]*(1-$AC$8)*0.3</f>
        <v>17.450398784916462</v>
      </c>
      <c r="U189" s="13">
        <f t="shared" si="4"/>
        <v>4829.8899999999994</v>
      </c>
      <c r="V189" s="13" t="str">
        <f>IF(Table1[[#This Row],[Customer_Total_Spend]]&gt;5000,"Yes","No")</f>
        <v>No</v>
      </c>
      <c r="W189" s="13">
        <f t="shared" si="5"/>
        <v>14</v>
      </c>
    </row>
    <row r="190" spans="1:23" ht="15" thickBot="1" x14ac:dyDescent="0.35">
      <c r="A190" s="3" t="s">
        <v>335</v>
      </c>
      <c r="B190" s="8">
        <v>45670</v>
      </c>
      <c r="C190" s="4" t="s">
        <v>86</v>
      </c>
      <c r="D190" s="4" t="s">
        <v>87</v>
      </c>
      <c r="E190" s="4" t="s">
        <v>105</v>
      </c>
      <c r="F190" s="4" t="s">
        <v>106</v>
      </c>
      <c r="G190" s="4" t="s">
        <v>46</v>
      </c>
      <c r="H190" s="38">
        <v>1</v>
      </c>
      <c r="I190" s="4">
        <v>299.99</v>
      </c>
      <c r="J190" s="4" t="s">
        <v>26</v>
      </c>
      <c r="K190" s="4" t="s">
        <v>40</v>
      </c>
      <c r="L190" s="4" t="s">
        <v>22</v>
      </c>
      <c r="M190" s="8">
        <v>44436</v>
      </c>
      <c r="N190" s="34">
        <v>299.99</v>
      </c>
      <c r="O190" s="4">
        <f ca="1">DATEDIF(Table1[[#This Row],[Customer_Since]],TODAY(),"Y")</f>
        <v>4</v>
      </c>
      <c r="P190" s="12">
        <f ca="1">DATEDIF(Table1[[#This Row],[Date]],TODAY(),"M")</f>
        <v>13</v>
      </c>
      <c r="Q190" s="12" t="str">
        <f ca="1">IF(Table1[[#This Row],[Months_Since_Purchase]]&gt;12,"Inactive","Active")</f>
        <v>Inactive</v>
      </c>
      <c r="R190" s="14">
        <f>EOMONTH(Table1[[#This Row],[Date]],0)</f>
        <v>45688</v>
      </c>
      <c r="S190" s="13" t="str">
        <f>IF(Table1[[#This Row],[Total_Amount]]&gt;=700,"High",
 IF(Table1[[#This Row],[Total_Amount]]&gt;=300,"Medium","Low"))</f>
        <v>Low</v>
      </c>
      <c r="T190" s="13">
        <f>Table1[[#This Row],[Total_Amount]]*(1-$AC$8)*0.3</f>
        <v>65.444994767934617</v>
      </c>
      <c r="U190" s="13">
        <f t="shared" si="4"/>
        <v>15659.65</v>
      </c>
      <c r="V190" s="13" t="str">
        <f>IF(Table1[[#This Row],[Customer_Total_Spend]]&gt;5000,"Yes","No")</f>
        <v>Yes</v>
      </c>
      <c r="W190" s="13">
        <f t="shared" si="5"/>
        <v>26</v>
      </c>
    </row>
    <row r="191" spans="1:23" ht="15" thickBot="1" x14ac:dyDescent="0.35">
      <c r="A191" s="3" t="s">
        <v>336</v>
      </c>
      <c r="B191" s="8">
        <v>45671</v>
      </c>
      <c r="C191" s="4" t="s">
        <v>158</v>
      </c>
      <c r="D191" s="4" t="s">
        <v>159</v>
      </c>
      <c r="E191" s="4" t="s">
        <v>17</v>
      </c>
      <c r="F191" s="4" t="s">
        <v>18</v>
      </c>
      <c r="G191" s="4" t="s">
        <v>19</v>
      </c>
      <c r="H191" s="38">
        <v>4</v>
      </c>
      <c r="I191" s="4">
        <v>249.99</v>
      </c>
      <c r="J191" s="4" t="s">
        <v>26</v>
      </c>
      <c r="K191" s="4" t="s">
        <v>40</v>
      </c>
      <c r="L191" s="4" t="s">
        <v>27</v>
      </c>
      <c r="M191" s="8">
        <v>44460</v>
      </c>
      <c r="N191" s="34">
        <v>999.96</v>
      </c>
      <c r="O191" s="4">
        <f ca="1">DATEDIF(Table1[[#This Row],[Customer_Since]],TODAY(),"Y")</f>
        <v>4</v>
      </c>
      <c r="P191" s="12">
        <f ca="1">DATEDIF(Table1[[#This Row],[Date]],TODAY(),"M")</f>
        <v>13</v>
      </c>
      <c r="Q191" s="12" t="str">
        <f ca="1">IF(Table1[[#This Row],[Months_Since_Purchase]]&gt;12,"Inactive","Active")</f>
        <v>Inactive</v>
      </c>
      <c r="R191" s="14">
        <f>EOMONTH(Table1[[#This Row],[Date]],0)</f>
        <v>45688</v>
      </c>
      <c r="S191" s="13" t="str">
        <f>IF(Table1[[#This Row],[Total_Amount]]&gt;=700,"High",
 IF(Table1[[#This Row],[Total_Amount]]&gt;=300,"Medium","Low"))</f>
        <v>High</v>
      </c>
      <c r="T191" s="13">
        <f>Table1[[#This Row],[Total_Amount]]*(1-$AC$8)*0.3</f>
        <v>218.14852817808563</v>
      </c>
      <c r="U191" s="13">
        <f t="shared" si="4"/>
        <v>5649.84</v>
      </c>
      <c r="V191" s="13" t="str">
        <f>IF(Table1[[#This Row],[Customer_Total_Spend]]&gt;5000,"Yes","No")</f>
        <v>Yes</v>
      </c>
      <c r="W191" s="13">
        <f t="shared" si="5"/>
        <v>26</v>
      </c>
    </row>
    <row r="192" spans="1:23" ht="15" thickBot="1" x14ac:dyDescent="0.35">
      <c r="A192" s="3" t="s">
        <v>337</v>
      </c>
      <c r="B192" s="8">
        <v>45671</v>
      </c>
      <c r="C192" s="4" t="s">
        <v>120</v>
      </c>
      <c r="D192" s="4" t="s">
        <v>121</v>
      </c>
      <c r="E192" s="4" t="s">
        <v>52</v>
      </c>
      <c r="F192" s="4" t="s">
        <v>53</v>
      </c>
      <c r="G192" s="4" t="s">
        <v>19</v>
      </c>
      <c r="H192" s="38">
        <v>2</v>
      </c>
      <c r="I192" s="4">
        <v>149.99</v>
      </c>
      <c r="J192" s="4" t="s">
        <v>20</v>
      </c>
      <c r="K192" s="4" t="s">
        <v>40</v>
      </c>
      <c r="L192" s="4" t="s">
        <v>36</v>
      </c>
      <c r="M192" s="8">
        <v>44913</v>
      </c>
      <c r="N192" s="34">
        <v>299.98</v>
      </c>
      <c r="O192" s="4">
        <f ca="1">DATEDIF(Table1[[#This Row],[Customer_Since]],TODAY(),"Y")</f>
        <v>3</v>
      </c>
      <c r="P192" s="12">
        <f ca="1">DATEDIF(Table1[[#This Row],[Date]],TODAY(),"M")</f>
        <v>13</v>
      </c>
      <c r="Q192" s="12" t="str">
        <f ca="1">IF(Table1[[#This Row],[Months_Since_Purchase]]&gt;12,"Inactive","Active")</f>
        <v>Inactive</v>
      </c>
      <c r="R192" s="14">
        <f>EOMONTH(Table1[[#This Row],[Date]],0)</f>
        <v>45688</v>
      </c>
      <c r="S192" s="13" t="str">
        <f>IF(Table1[[#This Row],[Total_Amount]]&gt;=700,"High",
 IF(Table1[[#This Row],[Total_Amount]]&gt;=300,"Medium","Low"))</f>
        <v>Low</v>
      </c>
      <c r="T192" s="13">
        <f>Table1[[#This Row],[Total_Amount]]*(1-$AC$8)*0.3</f>
        <v>65.442813195389931</v>
      </c>
      <c r="U192" s="13">
        <f t="shared" si="4"/>
        <v>6459.79</v>
      </c>
      <c r="V192" s="13" t="str">
        <f>IF(Table1[[#This Row],[Customer_Total_Spend]]&gt;5000,"Yes","No")</f>
        <v>Yes</v>
      </c>
      <c r="W192" s="13">
        <f t="shared" si="5"/>
        <v>16</v>
      </c>
    </row>
    <row r="193" spans="1:23" ht="15" thickBot="1" x14ac:dyDescent="0.35">
      <c r="A193" s="3" t="s">
        <v>338</v>
      </c>
      <c r="B193" s="8">
        <v>45671</v>
      </c>
      <c r="C193" s="4" t="s">
        <v>234</v>
      </c>
      <c r="D193" s="4" t="s">
        <v>235</v>
      </c>
      <c r="E193" s="4" t="s">
        <v>105</v>
      </c>
      <c r="F193" s="4" t="s">
        <v>106</v>
      </c>
      <c r="G193" s="4" t="s">
        <v>46</v>
      </c>
      <c r="H193" s="38">
        <v>3</v>
      </c>
      <c r="I193" s="4">
        <v>299.99</v>
      </c>
      <c r="J193" s="4" t="s">
        <v>26</v>
      </c>
      <c r="K193" s="4" t="s">
        <v>35</v>
      </c>
      <c r="L193" s="4" t="s">
        <v>22</v>
      </c>
      <c r="M193" s="8">
        <v>45204</v>
      </c>
      <c r="N193" s="34">
        <v>899.97</v>
      </c>
      <c r="O193" s="4">
        <f ca="1">DATEDIF(Table1[[#This Row],[Customer_Since]],TODAY(),"Y")</f>
        <v>2</v>
      </c>
      <c r="P193" s="12">
        <f ca="1">DATEDIF(Table1[[#This Row],[Date]],TODAY(),"M")</f>
        <v>13</v>
      </c>
      <c r="Q193" s="12" t="str">
        <f ca="1">IF(Table1[[#This Row],[Months_Since_Purchase]]&gt;12,"Inactive","Active")</f>
        <v>Inactive</v>
      </c>
      <c r="R193" s="14">
        <f>EOMONTH(Table1[[#This Row],[Date]],0)</f>
        <v>45688</v>
      </c>
      <c r="S193" s="13" t="str">
        <f>IF(Table1[[#This Row],[Total_Amount]]&gt;=700,"High",
 IF(Table1[[#This Row],[Total_Amount]]&gt;=300,"Medium","Low"))</f>
        <v>High</v>
      </c>
      <c r="T193" s="13">
        <f>Table1[[#This Row],[Total_Amount]]*(1-$AC$8)*0.3</f>
        <v>196.33498430380385</v>
      </c>
      <c r="U193" s="13">
        <f t="shared" si="4"/>
        <v>6349.83</v>
      </c>
      <c r="V193" s="13" t="str">
        <f>IF(Table1[[#This Row],[Customer_Total_Spend]]&gt;5000,"Yes","No")</f>
        <v>Yes</v>
      </c>
      <c r="W193" s="13">
        <f t="shared" si="5"/>
        <v>26</v>
      </c>
    </row>
    <row r="194" spans="1:23" ht="15" thickBot="1" x14ac:dyDescent="0.35">
      <c r="A194" s="3" t="s">
        <v>339</v>
      </c>
      <c r="B194" s="8">
        <v>45673</v>
      </c>
      <c r="C194" s="4" t="s">
        <v>226</v>
      </c>
      <c r="D194" s="4" t="s">
        <v>227</v>
      </c>
      <c r="E194" s="4" t="s">
        <v>126</v>
      </c>
      <c r="F194" s="4" t="s">
        <v>127</v>
      </c>
      <c r="G194" s="4" t="s">
        <v>46</v>
      </c>
      <c r="H194" s="38">
        <v>4</v>
      </c>
      <c r="I194" s="4">
        <v>199.99</v>
      </c>
      <c r="J194" s="4" t="s">
        <v>57</v>
      </c>
      <c r="K194" s="4" t="s">
        <v>35</v>
      </c>
      <c r="L194" s="4" t="s">
        <v>36</v>
      </c>
      <c r="M194" s="8">
        <v>44544</v>
      </c>
      <c r="N194" s="34">
        <v>799.96</v>
      </c>
      <c r="O194" s="4">
        <f ca="1">DATEDIF(Table1[[#This Row],[Customer_Since]],TODAY(),"Y")</f>
        <v>4</v>
      </c>
      <c r="P194" s="12">
        <f ca="1">DATEDIF(Table1[[#This Row],[Date]],TODAY(),"M")</f>
        <v>13</v>
      </c>
      <c r="Q194" s="12" t="str">
        <f ca="1">IF(Table1[[#This Row],[Months_Since_Purchase]]&gt;12,"Inactive","Active")</f>
        <v>Inactive</v>
      </c>
      <c r="R194" s="14">
        <f>EOMONTH(Table1[[#This Row],[Date]],0)</f>
        <v>45688</v>
      </c>
      <c r="S194" s="13" t="str">
        <f>IF(Table1[[#This Row],[Total_Amount]]&gt;=700,"High",
 IF(Table1[[#This Row],[Total_Amount]]&gt;=300,"Medium","Low"))</f>
        <v>High</v>
      </c>
      <c r="T194" s="13">
        <f>Table1[[#This Row],[Total_Amount]]*(1-$AC$8)*0.3</f>
        <v>174.51707728443276</v>
      </c>
      <c r="U194" s="13">
        <f t="shared" ref="U194:U251" si="6">SUMIFS(N:N,C:C,C:C)</f>
        <v>6989.7699999999986</v>
      </c>
      <c r="V194" s="13" t="str">
        <f>IF(Table1[[#This Row],[Customer_Total_Spend]]&gt;5000,"Yes","No")</f>
        <v>Yes</v>
      </c>
      <c r="W194" s="13">
        <f t="shared" ref="W194:W251" si="7">COUNTIF(F:F,F:F)</f>
        <v>15</v>
      </c>
    </row>
    <row r="195" spans="1:23" ht="15" thickBot="1" x14ac:dyDescent="0.35">
      <c r="A195" s="3" t="s">
        <v>340</v>
      </c>
      <c r="B195" s="8">
        <v>45673</v>
      </c>
      <c r="C195" s="4" t="s">
        <v>211</v>
      </c>
      <c r="D195" s="4" t="s">
        <v>212</v>
      </c>
      <c r="E195" s="4" t="s">
        <v>105</v>
      </c>
      <c r="F195" s="4" t="s">
        <v>106</v>
      </c>
      <c r="G195" s="4" t="s">
        <v>46</v>
      </c>
      <c r="H195" s="38">
        <v>5</v>
      </c>
      <c r="I195" s="4">
        <v>299.99</v>
      </c>
      <c r="J195" s="4" t="s">
        <v>57</v>
      </c>
      <c r="K195" s="4" t="s">
        <v>21</v>
      </c>
      <c r="L195" s="4" t="s">
        <v>22</v>
      </c>
      <c r="M195" s="8">
        <v>44431</v>
      </c>
      <c r="N195" s="34">
        <v>1499.95</v>
      </c>
      <c r="O195" s="4">
        <f ca="1">DATEDIF(Table1[[#This Row],[Customer_Since]],TODAY(),"Y")</f>
        <v>4</v>
      </c>
      <c r="P195" s="12">
        <f ca="1">DATEDIF(Table1[[#This Row],[Date]],TODAY(),"M")</f>
        <v>13</v>
      </c>
      <c r="Q195" s="12" t="str">
        <f ca="1">IF(Table1[[#This Row],[Months_Since_Purchase]]&gt;12,"Inactive","Active")</f>
        <v>Inactive</v>
      </c>
      <c r="R195" s="14">
        <f>EOMONTH(Table1[[#This Row],[Date]],0)</f>
        <v>45688</v>
      </c>
      <c r="S195" s="13" t="str">
        <f>IF(Table1[[#This Row],[Total_Amount]]&gt;=700,"High",
 IF(Table1[[#This Row],[Total_Amount]]&gt;=300,"Medium","Low"))</f>
        <v>High</v>
      </c>
      <c r="T195" s="13">
        <f>Table1[[#This Row],[Total_Amount]]*(1-$AC$8)*0.3</f>
        <v>327.22497383967311</v>
      </c>
      <c r="U195" s="13">
        <f t="shared" si="6"/>
        <v>3649.8599999999997</v>
      </c>
      <c r="V195" s="13" t="str">
        <f>IF(Table1[[#This Row],[Customer_Total_Spend]]&gt;5000,"Yes","No")</f>
        <v>No</v>
      </c>
      <c r="W195" s="13">
        <f t="shared" si="7"/>
        <v>26</v>
      </c>
    </row>
    <row r="196" spans="1:23" ht="15" thickBot="1" x14ac:dyDescent="0.35">
      <c r="A196" s="3" t="s">
        <v>341</v>
      </c>
      <c r="B196" s="8">
        <v>45673</v>
      </c>
      <c r="C196" s="4" t="s">
        <v>59</v>
      </c>
      <c r="D196" s="4" t="s">
        <v>60</v>
      </c>
      <c r="E196" s="4" t="s">
        <v>44</v>
      </c>
      <c r="F196" s="4" t="s">
        <v>45</v>
      </c>
      <c r="G196" s="4" t="s">
        <v>46</v>
      </c>
      <c r="H196" s="38">
        <v>3</v>
      </c>
      <c r="I196" s="4">
        <v>149.99</v>
      </c>
      <c r="J196" s="4" t="s">
        <v>26</v>
      </c>
      <c r="K196" s="4" t="s">
        <v>63</v>
      </c>
      <c r="L196" s="4" t="s">
        <v>36</v>
      </c>
      <c r="M196" s="8">
        <v>44395</v>
      </c>
      <c r="N196" s="34">
        <v>449.97</v>
      </c>
      <c r="O196" s="4">
        <f ca="1">DATEDIF(Table1[[#This Row],[Customer_Since]],TODAY(),"Y")</f>
        <v>4</v>
      </c>
      <c r="P196" s="12">
        <f ca="1">DATEDIF(Table1[[#This Row],[Date]],TODAY(),"M")</f>
        <v>13</v>
      </c>
      <c r="Q196" s="12" t="str">
        <f ca="1">IF(Table1[[#This Row],[Months_Since_Purchase]]&gt;12,"Inactive","Active")</f>
        <v>Inactive</v>
      </c>
      <c r="R196" s="14">
        <f>EOMONTH(Table1[[#This Row],[Date]],0)</f>
        <v>45688</v>
      </c>
      <c r="S196" s="13" t="str">
        <f>IF(Table1[[#This Row],[Total_Amount]]&gt;=700,"High",
 IF(Table1[[#This Row],[Total_Amount]]&gt;=300,"Medium","Low"))</f>
        <v>Medium</v>
      </c>
      <c r="T196" s="13">
        <f>Table1[[#This Row],[Total_Amount]]*(1-$AC$8)*0.3</f>
        <v>98.164219793084911</v>
      </c>
      <c r="U196" s="13">
        <f t="shared" si="6"/>
        <v>3509.8999999999996</v>
      </c>
      <c r="V196" s="13" t="str">
        <f>IF(Table1[[#This Row],[Customer_Total_Spend]]&gt;5000,"Yes","No")</f>
        <v>No</v>
      </c>
      <c r="W196" s="13">
        <f t="shared" si="7"/>
        <v>35</v>
      </c>
    </row>
    <row r="197" spans="1:23" ht="15" thickBot="1" x14ac:dyDescent="0.35">
      <c r="A197" s="3" t="s">
        <v>342</v>
      </c>
      <c r="B197" s="8">
        <v>45676</v>
      </c>
      <c r="C197" s="4" t="s">
        <v>129</v>
      </c>
      <c r="D197" s="4" t="s">
        <v>130</v>
      </c>
      <c r="E197" s="4" t="s">
        <v>31</v>
      </c>
      <c r="F197" s="4" t="s">
        <v>32</v>
      </c>
      <c r="G197" s="4" t="s">
        <v>33</v>
      </c>
      <c r="H197" s="38">
        <v>5</v>
      </c>
      <c r="I197" s="4">
        <v>59.99</v>
      </c>
      <c r="J197" s="4" t="s">
        <v>57</v>
      </c>
      <c r="K197" s="4" t="s">
        <v>63</v>
      </c>
      <c r="L197" s="4" t="s">
        <v>22</v>
      </c>
      <c r="M197" s="8">
        <v>44642</v>
      </c>
      <c r="N197" s="34">
        <v>299.95</v>
      </c>
      <c r="O197" s="4">
        <f ca="1">DATEDIF(Table1[[#This Row],[Customer_Since]],TODAY(),"Y")</f>
        <v>3</v>
      </c>
      <c r="P197" s="12">
        <f ca="1">DATEDIF(Table1[[#This Row],[Date]],TODAY(),"M")</f>
        <v>13</v>
      </c>
      <c r="Q197" s="12" t="str">
        <f ca="1">IF(Table1[[#This Row],[Months_Since_Purchase]]&gt;12,"Inactive","Active")</f>
        <v>Inactive</v>
      </c>
      <c r="R197" s="14">
        <f>EOMONTH(Table1[[#This Row],[Date]],0)</f>
        <v>45688</v>
      </c>
      <c r="S197" s="13" t="str">
        <f>IF(Table1[[#This Row],[Total_Amount]]&gt;=700,"High",
 IF(Table1[[#This Row],[Total_Amount]]&gt;=300,"Medium","Low"))</f>
        <v>Low</v>
      </c>
      <c r="T197" s="13">
        <f>Table1[[#This Row],[Total_Amount]]*(1-$AC$8)*0.3</f>
        <v>65.436268477755888</v>
      </c>
      <c r="U197" s="13">
        <f t="shared" si="6"/>
        <v>2039.8000000000002</v>
      </c>
      <c r="V197" s="13" t="str">
        <f>IF(Table1[[#This Row],[Customer_Total_Spend]]&gt;5000,"Yes","No")</f>
        <v>No</v>
      </c>
      <c r="W197" s="13">
        <f t="shared" si="7"/>
        <v>29</v>
      </c>
    </row>
    <row r="198" spans="1:23" ht="15" thickBot="1" x14ac:dyDescent="0.35">
      <c r="A198" s="3" t="s">
        <v>343</v>
      </c>
      <c r="B198" s="8">
        <v>45682</v>
      </c>
      <c r="C198" s="4" t="s">
        <v>68</v>
      </c>
      <c r="D198" s="4" t="s">
        <v>69</v>
      </c>
      <c r="E198" s="4" t="s">
        <v>31</v>
      </c>
      <c r="F198" s="4" t="s">
        <v>32</v>
      </c>
      <c r="G198" s="4" t="s">
        <v>33</v>
      </c>
      <c r="H198" s="38">
        <v>4</v>
      </c>
      <c r="I198" s="4">
        <v>59.99</v>
      </c>
      <c r="J198" s="4" t="s">
        <v>57</v>
      </c>
      <c r="K198" s="4" t="s">
        <v>63</v>
      </c>
      <c r="L198" s="4" t="s">
        <v>36</v>
      </c>
      <c r="M198" s="8">
        <v>44564</v>
      </c>
      <c r="N198" s="34">
        <v>239.96</v>
      </c>
      <c r="O198" s="4">
        <f ca="1">DATEDIF(Table1[[#This Row],[Customer_Since]],TODAY(),"Y")</f>
        <v>4</v>
      </c>
      <c r="P198" s="12">
        <f ca="1">DATEDIF(Table1[[#This Row],[Date]],TODAY(),"M")</f>
        <v>13</v>
      </c>
      <c r="Q198" s="12" t="str">
        <f ca="1">IF(Table1[[#This Row],[Months_Since_Purchase]]&gt;12,"Inactive","Active")</f>
        <v>Inactive</v>
      </c>
      <c r="R198" s="14">
        <f>EOMONTH(Table1[[#This Row],[Date]],0)</f>
        <v>45688</v>
      </c>
      <c r="S198" s="13" t="str">
        <f>IF(Table1[[#This Row],[Total_Amount]]&gt;=700,"High",
 IF(Table1[[#This Row],[Total_Amount]]&gt;=300,"Medium","Low"))</f>
        <v>Low</v>
      </c>
      <c r="T198" s="13">
        <f>Table1[[#This Row],[Total_Amount]]*(1-$AC$8)*0.3</f>
        <v>52.349014782204712</v>
      </c>
      <c r="U198" s="13">
        <f t="shared" si="6"/>
        <v>1979.89</v>
      </c>
      <c r="V198" s="13" t="str">
        <f>IF(Table1[[#This Row],[Customer_Total_Spend]]&gt;5000,"Yes","No")</f>
        <v>No</v>
      </c>
      <c r="W198" s="13">
        <f t="shared" si="7"/>
        <v>29</v>
      </c>
    </row>
    <row r="199" spans="1:23" ht="15" thickBot="1" x14ac:dyDescent="0.35">
      <c r="A199" s="3" t="s">
        <v>344</v>
      </c>
      <c r="B199" s="8">
        <v>45683</v>
      </c>
      <c r="C199" s="4" t="s">
        <v>48</v>
      </c>
      <c r="D199" s="4" t="s">
        <v>49</v>
      </c>
      <c r="E199" s="4" t="s">
        <v>17</v>
      </c>
      <c r="F199" s="4" t="s">
        <v>18</v>
      </c>
      <c r="G199" s="4" t="s">
        <v>19</v>
      </c>
      <c r="H199" s="38">
        <v>4</v>
      </c>
      <c r="I199" s="4">
        <v>249.99</v>
      </c>
      <c r="J199" s="4" t="s">
        <v>57</v>
      </c>
      <c r="K199" s="4" t="s">
        <v>21</v>
      </c>
      <c r="L199" s="4" t="s">
        <v>27</v>
      </c>
      <c r="M199" s="8">
        <v>45217</v>
      </c>
      <c r="N199" s="34">
        <v>999.96</v>
      </c>
      <c r="O199" s="4">
        <f ca="1">DATEDIF(Table1[[#This Row],[Customer_Since]],TODAY(),"Y")</f>
        <v>2</v>
      </c>
      <c r="P199" s="12">
        <f ca="1">DATEDIF(Table1[[#This Row],[Date]],TODAY(),"M")</f>
        <v>13</v>
      </c>
      <c r="Q199" s="12" t="str">
        <f ca="1">IF(Table1[[#This Row],[Months_Since_Purchase]]&gt;12,"Inactive","Active")</f>
        <v>Inactive</v>
      </c>
      <c r="R199" s="14">
        <f>EOMONTH(Table1[[#This Row],[Date]],0)</f>
        <v>45688</v>
      </c>
      <c r="S199" s="13" t="str">
        <f>IF(Table1[[#This Row],[Total_Amount]]&gt;=700,"High",
 IF(Table1[[#This Row],[Total_Amount]]&gt;=300,"Medium","Low"))</f>
        <v>High</v>
      </c>
      <c r="T199" s="13">
        <f>Table1[[#This Row],[Total_Amount]]*(1-$AC$8)*0.3</f>
        <v>218.14852817808563</v>
      </c>
      <c r="U199" s="13">
        <f t="shared" si="6"/>
        <v>8269.7900000000009</v>
      </c>
      <c r="V199" s="13" t="str">
        <f>IF(Table1[[#This Row],[Customer_Total_Spend]]&gt;5000,"Yes","No")</f>
        <v>Yes</v>
      </c>
      <c r="W199" s="13">
        <f t="shared" si="7"/>
        <v>26</v>
      </c>
    </row>
    <row r="200" spans="1:23" ht="15" thickBot="1" x14ac:dyDescent="0.35">
      <c r="A200" s="3" t="s">
        <v>345</v>
      </c>
      <c r="B200" s="8">
        <v>45686</v>
      </c>
      <c r="C200" s="4" t="s">
        <v>252</v>
      </c>
      <c r="D200" s="4" t="s">
        <v>253</v>
      </c>
      <c r="E200" s="4" t="s">
        <v>61</v>
      </c>
      <c r="F200" s="4" t="s">
        <v>62</v>
      </c>
      <c r="G200" s="4" t="s">
        <v>19</v>
      </c>
      <c r="H200" s="38">
        <v>4</v>
      </c>
      <c r="I200" s="4">
        <v>899.99</v>
      </c>
      <c r="J200" s="4" t="s">
        <v>34</v>
      </c>
      <c r="K200" s="4" t="s">
        <v>21</v>
      </c>
      <c r="L200" s="4" t="s">
        <v>22</v>
      </c>
      <c r="M200" s="8">
        <v>44734</v>
      </c>
      <c r="N200" s="34">
        <v>3599.96</v>
      </c>
      <c r="O200" s="4">
        <f ca="1">DATEDIF(Table1[[#This Row],[Customer_Since]],TODAY(),"Y")</f>
        <v>3</v>
      </c>
      <c r="P200" s="12">
        <f ca="1">DATEDIF(Table1[[#This Row],[Date]],TODAY(),"M")</f>
        <v>13</v>
      </c>
      <c r="Q200" s="12" t="str">
        <f ca="1">IF(Table1[[#This Row],[Months_Since_Purchase]]&gt;12,"Inactive","Active")</f>
        <v>Inactive</v>
      </c>
      <c r="R200" s="14">
        <f>EOMONTH(Table1[[#This Row],[Date]],0)</f>
        <v>45688</v>
      </c>
      <c r="S200" s="13" t="str">
        <f>IF(Table1[[#This Row],[Total_Amount]]&gt;=700,"High",
 IF(Table1[[#This Row],[Total_Amount]]&gt;=300,"Medium","Low"))</f>
        <v>High</v>
      </c>
      <c r="T200" s="13">
        <f>Table1[[#This Row],[Total_Amount]]*(1-$AC$8)*0.3</f>
        <v>785.35738979557289</v>
      </c>
      <c r="U200" s="13">
        <f t="shared" si="6"/>
        <v>4749.91</v>
      </c>
      <c r="V200" s="13" t="str">
        <f>IF(Table1[[#This Row],[Customer_Total_Spend]]&gt;5000,"Yes","No")</f>
        <v>No</v>
      </c>
      <c r="W200" s="13">
        <f t="shared" si="7"/>
        <v>24</v>
      </c>
    </row>
    <row r="201" spans="1:23" ht="15" thickBot="1" x14ac:dyDescent="0.35">
      <c r="A201" s="3" t="s">
        <v>346</v>
      </c>
      <c r="B201" s="8">
        <v>45686</v>
      </c>
      <c r="C201" s="4" t="s">
        <v>86</v>
      </c>
      <c r="D201" s="4" t="s">
        <v>87</v>
      </c>
      <c r="E201" s="4" t="s">
        <v>105</v>
      </c>
      <c r="F201" s="4" t="s">
        <v>106</v>
      </c>
      <c r="G201" s="4" t="s">
        <v>46</v>
      </c>
      <c r="H201" s="38">
        <v>3</v>
      </c>
      <c r="I201" s="4">
        <v>299.99</v>
      </c>
      <c r="J201" s="4" t="s">
        <v>57</v>
      </c>
      <c r="K201" s="4" t="s">
        <v>50</v>
      </c>
      <c r="L201" s="4" t="s">
        <v>36</v>
      </c>
      <c r="M201" s="8">
        <v>44952</v>
      </c>
      <c r="N201" s="34">
        <v>899.97</v>
      </c>
      <c r="O201" s="4">
        <f ca="1">DATEDIF(Table1[[#This Row],[Customer_Since]],TODAY(),"Y")</f>
        <v>3</v>
      </c>
      <c r="P201" s="12">
        <f ca="1">DATEDIF(Table1[[#This Row],[Date]],TODAY(),"M")</f>
        <v>13</v>
      </c>
      <c r="Q201" s="12" t="str">
        <f ca="1">IF(Table1[[#This Row],[Months_Since_Purchase]]&gt;12,"Inactive","Active")</f>
        <v>Inactive</v>
      </c>
      <c r="R201" s="14">
        <f>EOMONTH(Table1[[#This Row],[Date]],0)</f>
        <v>45688</v>
      </c>
      <c r="S201" s="13" t="str">
        <f>IF(Table1[[#This Row],[Total_Amount]]&gt;=700,"High",
 IF(Table1[[#This Row],[Total_Amount]]&gt;=300,"Medium","Low"))</f>
        <v>High</v>
      </c>
      <c r="T201" s="13">
        <f>Table1[[#This Row],[Total_Amount]]*(1-$AC$8)*0.3</f>
        <v>196.33498430380385</v>
      </c>
      <c r="U201" s="13">
        <f t="shared" si="6"/>
        <v>15659.65</v>
      </c>
      <c r="V201" s="13" t="str">
        <f>IF(Table1[[#This Row],[Customer_Total_Spend]]&gt;5000,"Yes","No")</f>
        <v>Yes</v>
      </c>
      <c r="W201" s="13">
        <f t="shared" si="7"/>
        <v>26</v>
      </c>
    </row>
    <row r="202" spans="1:23" ht="15" thickBot="1" x14ac:dyDescent="0.35">
      <c r="A202" s="3" t="s">
        <v>347</v>
      </c>
      <c r="B202" s="8">
        <v>45686</v>
      </c>
      <c r="C202" s="4" t="s">
        <v>293</v>
      </c>
      <c r="D202" s="4" t="s">
        <v>294</v>
      </c>
      <c r="E202" s="4" t="s">
        <v>80</v>
      </c>
      <c r="F202" s="4" t="s">
        <v>81</v>
      </c>
      <c r="G202" s="4" t="s">
        <v>19</v>
      </c>
      <c r="H202" s="38">
        <v>2</v>
      </c>
      <c r="I202" s="4">
        <v>699.99</v>
      </c>
      <c r="J202" s="4" t="s">
        <v>57</v>
      </c>
      <c r="K202" s="4" t="s">
        <v>21</v>
      </c>
      <c r="L202" s="4" t="s">
        <v>27</v>
      </c>
      <c r="M202" s="8">
        <v>44681</v>
      </c>
      <c r="N202" s="34">
        <v>1399.98</v>
      </c>
      <c r="O202" s="4">
        <f ca="1">DATEDIF(Table1[[#This Row],[Customer_Since]],TODAY(),"Y")</f>
        <v>3</v>
      </c>
      <c r="P202" s="12">
        <f ca="1">DATEDIF(Table1[[#This Row],[Date]],TODAY(),"M")</f>
        <v>13</v>
      </c>
      <c r="Q202" s="12" t="str">
        <f ca="1">IF(Table1[[#This Row],[Months_Since_Purchase]]&gt;12,"Inactive","Active")</f>
        <v>Inactive</v>
      </c>
      <c r="R202" s="14">
        <f>EOMONTH(Table1[[#This Row],[Date]],0)</f>
        <v>45688</v>
      </c>
      <c r="S202" s="13" t="str">
        <f>IF(Table1[[#This Row],[Total_Amount]]&gt;=700,"High",
 IF(Table1[[#This Row],[Total_Amount]]&gt;=300,"Medium","Low"))</f>
        <v>High</v>
      </c>
      <c r="T202" s="13">
        <f>Table1[[#This Row],[Total_Amount]]*(1-$AC$8)*0.3</f>
        <v>305.41579311048065</v>
      </c>
      <c r="U202" s="13">
        <f t="shared" si="6"/>
        <v>4829.8899999999994</v>
      </c>
      <c r="V202" s="13" t="str">
        <f>IF(Table1[[#This Row],[Customer_Total_Spend]]&gt;5000,"Yes","No")</f>
        <v>No</v>
      </c>
      <c r="W202" s="13">
        <f t="shared" si="7"/>
        <v>31</v>
      </c>
    </row>
    <row r="203" spans="1:23" ht="15" thickBot="1" x14ac:dyDescent="0.35">
      <c r="A203" s="3" t="s">
        <v>348</v>
      </c>
      <c r="B203" s="8">
        <v>45688</v>
      </c>
      <c r="C203" s="4" t="s">
        <v>65</v>
      </c>
      <c r="D203" s="4" t="s">
        <v>66</v>
      </c>
      <c r="E203" s="4" t="s">
        <v>80</v>
      </c>
      <c r="F203" s="4" t="s">
        <v>81</v>
      </c>
      <c r="G203" s="4" t="s">
        <v>19</v>
      </c>
      <c r="H203" s="38">
        <v>4</v>
      </c>
      <c r="I203" s="4">
        <v>699.99</v>
      </c>
      <c r="J203" s="4" t="s">
        <v>57</v>
      </c>
      <c r="K203" s="4" t="s">
        <v>50</v>
      </c>
      <c r="L203" s="4" t="s">
        <v>27</v>
      </c>
      <c r="M203" s="8">
        <v>44692</v>
      </c>
      <c r="N203" s="34">
        <v>2799.96</v>
      </c>
      <c r="O203" s="4">
        <f ca="1">DATEDIF(Table1[[#This Row],[Customer_Since]],TODAY(),"Y")</f>
        <v>3</v>
      </c>
      <c r="P203" s="12">
        <f ca="1">DATEDIF(Table1[[#This Row],[Date]],TODAY(),"M")</f>
        <v>13</v>
      </c>
      <c r="Q203" s="12" t="str">
        <f ca="1">IF(Table1[[#This Row],[Months_Since_Purchase]]&gt;12,"Inactive","Active")</f>
        <v>Inactive</v>
      </c>
      <c r="R203" s="14">
        <f>EOMONTH(Table1[[#This Row],[Date]],0)</f>
        <v>45688</v>
      </c>
      <c r="S203" s="13" t="str">
        <f>IF(Table1[[#This Row],[Total_Amount]]&gt;=700,"High",
 IF(Table1[[#This Row],[Total_Amount]]&gt;=300,"Medium","Low"))</f>
        <v>High</v>
      </c>
      <c r="T203" s="13">
        <f>Table1[[#This Row],[Total_Amount]]*(1-$AC$8)*0.3</f>
        <v>610.8315862209613</v>
      </c>
      <c r="U203" s="13">
        <f t="shared" si="6"/>
        <v>8009.7699999999995</v>
      </c>
      <c r="V203" s="13" t="str">
        <f>IF(Table1[[#This Row],[Customer_Total_Spend]]&gt;5000,"Yes","No")</f>
        <v>Yes</v>
      </c>
      <c r="W203" s="13">
        <f t="shared" si="7"/>
        <v>31</v>
      </c>
    </row>
    <row r="204" spans="1:23" ht="15" thickBot="1" x14ac:dyDescent="0.35">
      <c r="A204" s="3" t="s">
        <v>349</v>
      </c>
      <c r="B204" s="8">
        <v>45688</v>
      </c>
      <c r="C204" s="4" t="s">
        <v>123</v>
      </c>
      <c r="D204" s="4" t="s">
        <v>124</v>
      </c>
      <c r="E204" s="4" t="s">
        <v>117</v>
      </c>
      <c r="F204" s="4" t="s">
        <v>118</v>
      </c>
      <c r="G204" s="4" t="s">
        <v>19</v>
      </c>
      <c r="H204" s="38">
        <v>2</v>
      </c>
      <c r="I204" s="4">
        <v>89.99</v>
      </c>
      <c r="J204" s="4" t="s">
        <v>57</v>
      </c>
      <c r="K204" s="4" t="s">
        <v>35</v>
      </c>
      <c r="L204" s="4" t="s">
        <v>22</v>
      </c>
      <c r="M204" s="8">
        <v>44777</v>
      </c>
      <c r="N204" s="34">
        <v>179.98</v>
      </c>
      <c r="O204" s="4">
        <f ca="1">DATEDIF(Table1[[#This Row],[Customer_Since]],TODAY(),"Y")</f>
        <v>3</v>
      </c>
      <c r="P204" s="12">
        <f ca="1">DATEDIF(Table1[[#This Row],[Date]],TODAY(),"M")</f>
        <v>13</v>
      </c>
      <c r="Q204" s="12" t="str">
        <f ca="1">IF(Table1[[#This Row],[Months_Since_Purchase]]&gt;12,"Inactive","Active")</f>
        <v>Inactive</v>
      </c>
      <c r="R204" s="14">
        <f>EOMONTH(Table1[[#This Row],[Date]],0)</f>
        <v>45688</v>
      </c>
      <c r="S204" s="13" t="str">
        <f>IF(Table1[[#This Row],[Total_Amount]]&gt;=700,"High",
 IF(Table1[[#This Row],[Total_Amount]]&gt;=300,"Medium","Low"))</f>
        <v>Low</v>
      </c>
      <c r="T204" s="13">
        <f>Table1[[#This Row],[Total_Amount]]*(1-$AC$8)*0.3</f>
        <v>39.263942659198214</v>
      </c>
      <c r="U204" s="13">
        <f t="shared" si="6"/>
        <v>11919.769999999999</v>
      </c>
      <c r="V204" s="13" t="str">
        <f>IF(Table1[[#This Row],[Customer_Total_Spend]]&gt;5000,"Yes","No")</f>
        <v>Yes</v>
      </c>
      <c r="W204" s="13">
        <f t="shared" si="7"/>
        <v>34</v>
      </c>
    </row>
    <row r="205" spans="1:23" ht="15" thickBot="1" x14ac:dyDescent="0.35">
      <c r="A205" s="3" t="s">
        <v>350</v>
      </c>
      <c r="B205" s="8">
        <v>45688</v>
      </c>
      <c r="C205" s="4" t="s">
        <v>42</v>
      </c>
      <c r="D205" s="4" t="s">
        <v>43</v>
      </c>
      <c r="E205" s="4" t="s">
        <v>117</v>
      </c>
      <c r="F205" s="4" t="s">
        <v>118</v>
      </c>
      <c r="G205" s="4" t="s">
        <v>19</v>
      </c>
      <c r="H205" s="38">
        <v>3</v>
      </c>
      <c r="I205" s="4">
        <v>89.99</v>
      </c>
      <c r="J205" s="4" t="s">
        <v>57</v>
      </c>
      <c r="K205" s="4" t="s">
        <v>35</v>
      </c>
      <c r="L205" s="4" t="s">
        <v>27</v>
      </c>
      <c r="M205" s="8">
        <v>45307</v>
      </c>
      <c r="N205" s="34">
        <v>269.97000000000003</v>
      </c>
      <c r="O205" s="4">
        <f ca="1">DATEDIF(Table1[[#This Row],[Customer_Since]],TODAY(),"Y")</f>
        <v>2</v>
      </c>
      <c r="P205" s="12">
        <f ca="1">DATEDIF(Table1[[#This Row],[Date]],TODAY(),"M")</f>
        <v>13</v>
      </c>
      <c r="Q205" s="12" t="str">
        <f ca="1">IF(Table1[[#This Row],[Months_Since_Purchase]]&gt;12,"Inactive","Active")</f>
        <v>Inactive</v>
      </c>
      <c r="R205" s="14">
        <f>EOMONTH(Table1[[#This Row],[Date]],0)</f>
        <v>45688</v>
      </c>
      <c r="S205" s="13" t="str">
        <f>IF(Table1[[#This Row],[Total_Amount]]&gt;=700,"High",
 IF(Table1[[#This Row],[Total_Amount]]&gt;=300,"Medium","Low"))</f>
        <v>Low</v>
      </c>
      <c r="T205" s="13">
        <f>Table1[[#This Row],[Total_Amount]]*(1-$AC$8)*0.3</f>
        <v>58.895913988797318</v>
      </c>
      <c r="U205" s="13">
        <f t="shared" si="6"/>
        <v>6169.7400000000007</v>
      </c>
      <c r="V205" s="13" t="str">
        <f>IF(Table1[[#This Row],[Customer_Total_Spend]]&gt;5000,"Yes","No")</f>
        <v>Yes</v>
      </c>
      <c r="W205" s="13">
        <f t="shared" si="7"/>
        <v>34</v>
      </c>
    </row>
    <row r="206" spans="1:23" ht="15" thickBot="1" x14ac:dyDescent="0.35">
      <c r="A206" s="3" t="s">
        <v>351</v>
      </c>
      <c r="B206" s="8">
        <v>45692</v>
      </c>
      <c r="C206" s="4" t="s">
        <v>325</v>
      </c>
      <c r="D206" s="4" t="s">
        <v>326</v>
      </c>
      <c r="E206" s="4" t="s">
        <v>31</v>
      </c>
      <c r="F206" s="4" t="s">
        <v>32</v>
      </c>
      <c r="G206" s="4" t="s">
        <v>33</v>
      </c>
      <c r="H206" s="38">
        <v>1</v>
      </c>
      <c r="I206" s="4">
        <v>59.99</v>
      </c>
      <c r="J206" s="4" t="s">
        <v>57</v>
      </c>
      <c r="K206" s="4" t="s">
        <v>21</v>
      </c>
      <c r="L206" s="4" t="s">
        <v>36</v>
      </c>
      <c r="M206" s="8">
        <v>45045</v>
      </c>
      <c r="N206" s="34">
        <v>59.99</v>
      </c>
      <c r="O206" s="4">
        <f ca="1">DATEDIF(Table1[[#This Row],[Customer_Since]],TODAY(),"Y")</f>
        <v>2</v>
      </c>
      <c r="P206" s="12">
        <f ca="1">DATEDIF(Table1[[#This Row],[Date]],TODAY(),"M")</f>
        <v>13</v>
      </c>
      <c r="Q206" s="12" t="str">
        <f ca="1">IF(Table1[[#This Row],[Months_Since_Purchase]]&gt;12,"Inactive","Active")</f>
        <v>Inactive</v>
      </c>
      <c r="R206" s="14">
        <f>EOMONTH(Table1[[#This Row],[Date]],0)</f>
        <v>45716</v>
      </c>
      <c r="S206" s="13" t="str">
        <f>IF(Table1[[#This Row],[Total_Amount]]&gt;=700,"High",
 IF(Table1[[#This Row],[Total_Amount]]&gt;=300,"Medium","Low"))</f>
        <v>Low</v>
      </c>
      <c r="T206" s="13">
        <f>Table1[[#This Row],[Total_Amount]]*(1-$AC$8)*0.3</f>
        <v>13.087253695551178</v>
      </c>
      <c r="U206" s="13">
        <f t="shared" si="6"/>
        <v>1559.94</v>
      </c>
      <c r="V206" s="13" t="str">
        <f>IF(Table1[[#This Row],[Customer_Total_Spend]]&gt;5000,"Yes","No")</f>
        <v>No</v>
      </c>
      <c r="W206" s="13">
        <f t="shared" si="7"/>
        <v>29</v>
      </c>
    </row>
    <row r="207" spans="1:23" ht="15" thickBot="1" x14ac:dyDescent="0.35">
      <c r="A207" s="3" t="s">
        <v>352</v>
      </c>
      <c r="B207" s="8">
        <v>45695</v>
      </c>
      <c r="C207" s="4" t="s">
        <v>246</v>
      </c>
      <c r="D207" s="4" t="s">
        <v>247</v>
      </c>
      <c r="E207" s="4" t="s">
        <v>44</v>
      </c>
      <c r="F207" s="4" t="s">
        <v>45</v>
      </c>
      <c r="G207" s="4" t="s">
        <v>46</v>
      </c>
      <c r="H207" s="38">
        <v>3</v>
      </c>
      <c r="I207" s="4">
        <v>149.99</v>
      </c>
      <c r="J207" s="4" t="s">
        <v>57</v>
      </c>
      <c r="K207" s="4" t="s">
        <v>40</v>
      </c>
      <c r="L207" s="4" t="s">
        <v>27</v>
      </c>
      <c r="M207" s="8">
        <v>44564</v>
      </c>
      <c r="N207" s="34">
        <v>449.97</v>
      </c>
      <c r="O207" s="4">
        <f ca="1">DATEDIF(Table1[[#This Row],[Customer_Since]],TODAY(),"Y")</f>
        <v>4</v>
      </c>
      <c r="P207" s="12">
        <f ca="1">DATEDIF(Table1[[#This Row],[Date]],TODAY(),"M")</f>
        <v>12</v>
      </c>
      <c r="Q207" s="12" t="str">
        <f ca="1">IF(Table1[[#This Row],[Months_Since_Purchase]]&gt;12,"Inactive","Active")</f>
        <v>Active</v>
      </c>
      <c r="R207" s="14">
        <f>EOMONTH(Table1[[#This Row],[Date]],0)</f>
        <v>45716</v>
      </c>
      <c r="S207" s="13" t="str">
        <f>IF(Table1[[#This Row],[Total_Amount]]&gt;=700,"High",
 IF(Table1[[#This Row],[Total_Amount]]&gt;=300,"Medium","Low"))</f>
        <v>Medium</v>
      </c>
      <c r="T207" s="13">
        <f>Table1[[#This Row],[Total_Amount]]*(1-$AC$8)*0.3</f>
        <v>98.164219793084911</v>
      </c>
      <c r="U207" s="13">
        <f t="shared" si="6"/>
        <v>1749.92</v>
      </c>
      <c r="V207" s="13" t="str">
        <f>IF(Table1[[#This Row],[Customer_Total_Spend]]&gt;5000,"Yes","No")</f>
        <v>No</v>
      </c>
      <c r="W207" s="13">
        <f t="shared" si="7"/>
        <v>35</v>
      </c>
    </row>
    <row r="208" spans="1:23" ht="15" thickBot="1" x14ac:dyDescent="0.35">
      <c r="A208" s="3" t="s">
        <v>353</v>
      </c>
      <c r="B208" s="8">
        <v>45695</v>
      </c>
      <c r="C208" s="4" t="s">
        <v>93</v>
      </c>
      <c r="D208" s="4" t="s">
        <v>94</v>
      </c>
      <c r="E208" s="4" t="s">
        <v>105</v>
      </c>
      <c r="F208" s="4" t="s">
        <v>106</v>
      </c>
      <c r="G208" s="4" t="s">
        <v>46</v>
      </c>
      <c r="H208" s="38">
        <v>5</v>
      </c>
      <c r="I208" s="4">
        <v>299.99</v>
      </c>
      <c r="J208" s="4" t="s">
        <v>26</v>
      </c>
      <c r="K208" s="4" t="s">
        <v>35</v>
      </c>
      <c r="L208" s="4" t="s">
        <v>22</v>
      </c>
      <c r="M208" s="8">
        <v>44959</v>
      </c>
      <c r="N208" s="34">
        <v>1499.95</v>
      </c>
      <c r="O208" s="4">
        <f ca="1">DATEDIF(Table1[[#This Row],[Customer_Since]],TODAY(),"Y")</f>
        <v>3</v>
      </c>
      <c r="P208" s="12">
        <f ca="1">DATEDIF(Table1[[#This Row],[Date]],TODAY(),"M")</f>
        <v>12</v>
      </c>
      <c r="Q208" s="12" t="str">
        <f ca="1">IF(Table1[[#This Row],[Months_Since_Purchase]]&gt;12,"Inactive","Active")</f>
        <v>Active</v>
      </c>
      <c r="R208" s="14">
        <f>EOMONTH(Table1[[#This Row],[Date]],0)</f>
        <v>45716</v>
      </c>
      <c r="S208" s="13" t="str">
        <f>IF(Table1[[#This Row],[Total_Amount]]&gt;=700,"High",
 IF(Table1[[#This Row],[Total_Amount]]&gt;=300,"Medium","Low"))</f>
        <v>High</v>
      </c>
      <c r="T208" s="13">
        <f>Table1[[#This Row],[Total_Amount]]*(1-$AC$8)*0.3</f>
        <v>327.22497383967311</v>
      </c>
      <c r="U208" s="13">
        <f t="shared" si="6"/>
        <v>4789.7900000000009</v>
      </c>
      <c r="V208" s="13" t="str">
        <f>IF(Table1[[#This Row],[Customer_Total_Spend]]&gt;5000,"Yes","No")</f>
        <v>No</v>
      </c>
      <c r="W208" s="13">
        <f t="shared" si="7"/>
        <v>26</v>
      </c>
    </row>
    <row r="209" spans="1:23" ht="15" thickBot="1" x14ac:dyDescent="0.35">
      <c r="A209" s="3" t="s">
        <v>354</v>
      </c>
      <c r="B209" s="8">
        <v>45696</v>
      </c>
      <c r="C209" s="4" t="s">
        <v>150</v>
      </c>
      <c r="D209" s="4" t="s">
        <v>151</v>
      </c>
      <c r="E209" s="4" t="s">
        <v>31</v>
      </c>
      <c r="F209" s="4" t="s">
        <v>32</v>
      </c>
      <c r="G209" s="4" t="s">
        <v>33</v>
      </c>
      <c r="H209" s="38">
        <v>5</v>
      </c>
      <c r="I209" s="4">
        <v>59.99</v>
      </c>
      <c r="J209" s="4" t="s">
        <v>57</v>
      </c>
      <c r="K209" s="4" t="s">
        <v>21</v>
      </c>
      <c r="L209" s="4" t="s">
        <v>36</v>
      </c>
      <c r="M209" s="8">
        <v>45177</v>
      </c>
      <c r="N209" s="34">
        <v>299.95</v>
      </c>
      <c r="O209" s="4">
        <f ca="1">DATEDIF(Table1[[#This Row],[Customer_Since]],TODAY(),"Y")</f>
        <v>2</v>
      </c>
      <c r="P209" s="12">
        <f ca="1">DATEDIF(Table1[[#This Row],[Date]],TODAY(),"M")</f>
        <v>12</v>
      </c>
      <c r="Q209" s="12" t="str">
        <f ca="1">IF(Table1[[#This Row],[Months_Since_Purchase]]&gt;12,"Inactive","Active")</f>
        <v>Active</v>
      </c>
      <c r="R209" s="14">
        <f>EOMONTH(Table1[[#This Row],[Date]],0)</f>
        <v>45716</v>
      </c>
      <c r="S209" s="13" t="str">
        <f>IF(Table1[[#This Row],[Total_Amount]]&gt;=700,"High",
 IF(Table1[[#This Row],[Total_Amount]]&gt;=300,"Medium","Low"))</f>
        <v>Low</v>
      </c>
      <c r="T209" s="13">
        <f>Table1[[#This Row],[Total_Amount]]*(1-$AC$8)*0.3</f>
        <v>65.436268477755888</v>
      </c>
      <c r="U209" s="13">
        <f t="shared" si="6"/>
        <v>5619.869999999999</v>
      </c>
      <c r="V209" s="13" t="str">
        <f>IF(Table1[[#This Row],[Customer_Total_Spend]]&gt;5000,"Yes","No")</f>
        <v>Yes</v>
      </c>
      <c r="W209" s="13">
        <f t="shared" si="7"/>
        <v>29</v>
      </c>
    </row>
    <row r="210" spans="1:23" ht="15" thickBot="1" x14ac:dyDescent="0.35">
      <c r="A210" s="3" t="s">
        <v>355</v>
      </c>
      <c r="B210" s="8">
        <v>45701</v>
      </c>
      <c r="C210" s="4" t="s">
        <v>108</v>
      </c>
      <c r="D210" s="4" t="s">
        <v>109</v>
      </c>
      <c r="E210" s="4" t="s">
        <v>114</v>
      </c>
      <c r="F210" s="4" t="s">
        <v>115</v>
      </c>
      <c r="G210" s="4" t="s">
        <v>33</v>
      </c>
      <c r="H210" s="38">
        <v>3</v>
      </c>
      <c r="I210" s="4">
        <v>79.989999999999995</v>
      </c>
      <c r="J210" s="4" t="s">
        <v>20</v>
      </c>
      <c r="K210" s="4" t="s">
        <v>63</v>
      </c>
      <c r="L210" s="4" t="s">
        <v>27</v>
      </c>
      <c r="M210" s="8">
        <v>44436</v>
      </c>
      <c r="N210" s="34">
        <v>239.97</v>
      </c>
      <c r="O210" s="4">
        <f ca="1">DATEDIF(Table1[[#This Row],[Customer_Since]],TODAY(),"Y")</f>
        <v>4</v>
      </c>
      <c r="P210" s="12">
        <f ca="1">DATEDIF(Table1[[#This Row],[Date]],TODAY(),"M")</f>
        <v>12</v>
      </c>
      <c r="Q210" s="12" t="str">
        <f ca="1">IF(Table1[[#This Row],[Months_Since_Purchase]]&gt;12,"Inactive","Active")</f>
        <v>Active</v>
      </c>
      <c r="R210" s="14">
        <f>EOMONTH(Table1[[#This Row],[Date]],0)</f>
        <v>45716</v>
      </c>
      <c r="S210" s="13" t="str">
        <f>IF(Table1[[#This Row],[Total_Amount]]&gt;=700,"High",
 IF(Table1[[#This Row],[Total_Amount]]&gt;=300,"Medium","Low"))</f>
        <v>Low</v>
      </c>
      <c r="T210" s="13">
        <f>Table1[[#This Row],[Total_Amount]]*(1-$AC$8)*0.3</f>
        <v>52.351196354749391</v>
      </c>
      <c r="U210" s="13">
        <f t="shared" si="6"/>
        <v>4189.7700000000004</v>
      </c>
      <c r="V210" s="13" t="str">
        <f>IF(Table1[[#This Row],[Customer_Total_Spend]]&gt;5000,"Yes","No")</f>
        <v>No</v>
      </c>
      <c r="W210" s="13">
        <f t="shared" si="7"/>
        <v>14</v>
      </c>
    </row>
    <row r="211" spans="1:23" ht="15" thickBot="1" x14ac:dyDescent="0.35">
      <c r="A211" s="3" t="s">
        <v>356</v>
      </c>
      <c r="B211" s="8">
        <v>45704</v>
      </c>
      <c r="C211" s="4" t="s">
        <v>29</v>
      </c>
      <c r="D211" s="4" t="s">
        <v>30</v>
      </c>
      <c r="E211" s="4" t="s">
        <v>126</v>
      </c>
      <c r="F211" s="4" t="s">
        <v>127</v>
      </c>
      <c r="G211" s="4" t="s">
        <v>46</v>
      </c>
      <c r="H211" s="38">
        <v>3</v>
      </c>
      <c r="I211" s="4">
        <v>199.99</v>
      </c>
      <c r="J211" s="4" t="s">
        <v>20</v>
      </c>
      <c r="K211" s="4" t="s">
        <v>21</v>
      </c>
      <c r="L211" s="4" t="s">
        <v>22</v>
      </c>
      <c r="M211" s="8">
        <v>44735</v>
      </c>
      <c r="N211" s="34">
        <v>599.97</v>
      </c>
      <c r="O211" s="4">
        <f ca="1">DATEDIF(Table1[[#This Row],[Customer_Since]],TODAY(),"Y")</f>
        <v>3</v>
      </c>
      <c r="P211" s="12">
        <f ca="1">DATEDIF(Table1[[#This Row],[Date]],TODAY(),"M")</f>
        <v>12</v>
      </c>
      <c r="Q211" s="12" t="str">
        <f ca="1">IF(Table1[[#This Row],[Months_Since_Purchase]]&gt;12,"Inactive","Active")</f>
        <v>Active</v>
      </c>
      <c r="R211" s="14">
        <f>EOMONTH(Table1[[#This Row],[Date]],0)</f>
        <v>45716</v>
      </c>
      <c r="S211" s="13" t="str">
        <f>IF(Table1[[#This Row],[Total_Amount]]&gt;=700,"High",
 IF(Table1[[#This Row],[Total_Amount]]&gt;=300,"Medium","Low"))</f>
        <v>Medium</v>
      </c>
      <c r="T211" s="13">
        <f>Table1[[#This Row],[Total_Amount]]*(1-$AC$8)*0.3</f>
        <v>130.88780796332455</v>
      </c>
      <c r="U211" s="13">
        <f t="shared" si="6"/>
        <v>3259.87</v>
      </c>
      <c r="V211" s="13" t="str">
        <f>IF(Table1[[#This Row],[Customer_Total_Spend]]&gt;5000,"Yes","No")</f>
        <v>No</v>
      </c>
      <c r="W211" s="13">
        <f t="shared" si="7"/>
        <v>15</v>
      </c>
    </row>
    <row r="212" spans="1:23" ht="15" thickBot="1" x14ac:dyDescent="0.35">
      <c r="A212" s="3" t="s">
        <v>357</v>
      </c>
      <c r="B212" s="8">
        <v>45704</v>
      </c>
      <c r="C212" s="4" t="s">
        <v>15</v>
      </c>
      <c r="D212" s="4" t="s">
        <v>16</v>
      </c>
      <c r="E212" s="4" t="s">
        <v>117</v>
      </c>
      <c r="F212" s="4" t="s">
        <v>118</v>
      </c>
      <c r="G212" s="4" t="s">
        <v>19</v>
      </c>
      <c r="H212" s="38">
        <v>2</v>
      </c>
      <c r="I212" s="4">
        <v>89.99</v>
      </c>
      <c r="J212" s="4" t="s">
        <v>34</v>
      </c>
      <c r="K212" s="4" t="s">
        <v>21</v>
      </c>
      <c r="L212" s="4" t="s">
        <v>22</v>
      </c>
      <c r="M212" s="8">
        <v>45257</v>
      </c>
      <c r="N212" s="34">
        <v>179.98</v>
      </c>
      <c r="O212" s="4">
        <f ca="1">DATEDIF(Table1[[#This Row],[Customer_Since]],TODAY(),"Y")</f>
        <v>2</v>
      </c>
      <c r="P212" s="12">
        <f ca="1">DATEDIF(Table1[[#This Row],[Date]],TODAY(),"M")</f>
        <v>12</v>
      </c>
      <c r="Q212" s="12" t="str">
        <f ca="1">IF(Table1[[#This Row],[Months_Since_Purchase]]&gt;12,"Inactive","Active")</f>
        <v>Active</v>
      </c>
      <c r="R212" s="14">
        <f>EOMONTH(Table1[[#This Row],[Date]],0)</f>
        <v>45716</v>
      </c>
      <c r="S212" s="13" t="str">
        <f>IF(Table1[[#This Row],[Total_Amount]]&gt;=700,"High",
 IF(Table1[[#This Row],[Total_Amount]]&gt;=300,"Medium","Low"))</f>
        <v>Low</v>
      </c>
      <c r="T212" s="13">
        <f>Table1[[#This Row],[Total_Amount]]*(1-$AC$8)*0.3</f>
        <v>39.263942659198214</v>
      </c>
      <c r="U212" s="13">
        <f t="shared" si="6"/>
        <v>8309.739999999998</v>
      </c>
      <c r="V212" s="13" t="str">
        <f>IF(Table1[[#This Row],[Customer_Total_Spend]]&gt;5000,"Yes","No")</f>
        <v>Yes</v>
      </c>
      <c r="W212" s="13">
        <f t="shared" si="7"/>
        <v>34</v>
      </c>
    </row>
    <row r="213" spans="1:23" ht="15" thickBot="1" x14ac:dyDescent="0.35">
      <c r="A213" s="3" t="s">
        <v>358</v>
      </c>
      <c r="B213" s="8">
        <v>45705</v>
      </c>
      <c r="C213" s="4" t="s">
        <v>259</v>
      </c>
      <c r="D213" s="4" t="s">
        <v>260</v>
      </c>
      <c r="E213" s="4" t="s">
        <v>44</v>
      </c>
      <c r="F213" s="4" t="s">
        <v>45</v>
      </c>
      <c r="G213" s="4" t="s">
        <v>46</v>
      </c>
      <c r="H213" s="38">
        <v>2</v>
      </c>
      <c r="I213" s="4">
        <v>149.99</v>
      </c>
      <c r="J213" s="4" t="s">
        <v>20</v>
      </c>
      <c r="K213" s="4" t="s">
        <v>35</v>
      </c>
      <c r="L213" s="4" t="s">
        <v>27</v>
      </c>
      <c r="M213" s="8">
        <v>44728</v>
      </c>
      <c r="N213" s="34">
        <v>299.98</v>
      </c>
      <c r="O213" s="4">
        <f ca="1">DATEDIF(Table1[[#This Row],[Customer_Since]],TODAY(),"Y")</f>
        <v>3</v>
      </c>
      <c r="P213" s="12">
        <f ca="1">DATEDIF(Table1[[#This Row],[Date]],TODAY(),"M")</f>
        <v>12</v>
      </c>
      <c r="Q213" s="12" t="str">
        <f ca="1">IF(Table1[[#This Row],[Months_Since_Purchase]]&gt;12,"Inactive","Active")</f>
        <v>Active</v>
      </c>
      <c r="R213" s="14">
        <f>EOMONTH(Table1[[#This Row],[Date]],0)</f>
        <v>45716</v>
      </c>
      <c r="S213" s="13" t="str">
        <f>IF(Table1[[#This Row],[Total_Amount]]&gt;=700,"High",
 IF(Table1[[#This Row],[Total_Amount]]&gt;=300,"Medium","Low"))</f>
        <v>Low</v>
      </c>
      <c r="T213" s="13">
        <f>Table1[[#This Row],[Total_Amount]]*(1-$AC$8)*0.3</f>
        <v>65.442813195389931</v>
      </c>
      <c r="U213" s="13">
        <f t="shared" si="6"/>
        <v>739.93000000000006</v>
      </c>
      <c r="V213" s="13" t="str">
        <f>IF(Table1[[#This Row],[Customer_Total_Spend]]&gt;5000,"Yes","No")</f>
        <v>No</v>
      </c>
      <c r="W213" s="13">
        <f t="shared" si="7"/>
        <v>35</v>
      </c>
    </row>
    <row r="214" spans="1:23" ht="15" thickBot="1" x14ac:dyDescent="0.35">
      <c r="A214" s="3" t="s">
        <v>359</v>
      </c>
      <c r="B214" s="8">
        <v>45707</v>
      </c>
      <c r="C214" s="4" t="s">
        <v>123</v>
      </c>
      <c r="D214" s="4" t="s">
        <v>124</v>
      </c>
      <c r="E214" s="4" t="s">
        <v>80</v>
      </c>
      <c r="F214" s="4" t="s">
        <v>81</v>
      </c>
      <c r="G214" s="4" t="s">
        <v>19</v>
      </c>
      <c r="H214" s="38">
        <v>5</v>
      </c>
      <c r="I214" s="4">
        <v>699.99</v>
      </c>
      <c r="J214" s="4" t="s">
        <v>34</v>
      </c>
      <c r="K214" s="4" t="s">
        <v>35</v>
      </c>
      <c r="L214" s="4" t="s">
        <v>27</v>
      </c>
      <c r="M214" s="8">
        <v>45352</v>
      </c>
      <c r="N214" s="34">
        <v>3499.95</v>
      </c>
      <c r="O214" s="4">
        <f ca="1">DATEDIF(Table1[[#This Row],[Customer_Since]],TODAY(),"Y")</f>
        <v>2</v>
      </c>
      <c r="P214" s="12">
        <f ca="1">DATEDIF(Table1[[#This Row],[Date]],TODAY(),"M")</f>
        <v>12</v>
      </c>
      <c r="Q214" s="12" t="str">
        <f ca="1">IF(Table1[[#This Row],[Months_Since_Purchase]]&gt;12,"Inactive","Active")</f>
        <v>Active</v>
      </c>
      <c r="R214" s="14">
        <f>EOMONTH(Table1[[#This Row],[Date]],0)</f>
        <v>45716</v>
      </c>
      <c r="S214" s="13" t="str">
        <f>IF(Table1[[#This Row],[Total_Amount]]&gt;=700,"High",
 IF(Table1[[#This Row],[Total_Amount]]&gt;=300,"Medium","Low"))</f>
        <v>High</v>
      </c>
      <c r="T214" s="13">
        <f>Table1[[#This Row],[Total_Amount]]*(1-$AC$8)*0.3</f>
        <v>763.53948277620168</v>
      </c>
      <c r="U214" s="13">
        <f t="shared" si="6"/>
        <v>11919.769999999999</v>
      </c>
      <c r="V214" s="13" t="str">
        <f>IF(Table1[[#This Row],[Customer_Total_Spend]]&gt;5000,"Yes","No")</f>
        <v>Yes</v>
      </c>
      <c r="W214" s="13">
        <f t="shared" si="7"/>
        <v>31</v>
      </c>
    </row>
    <row r="215" spans="1:23" ht="15" thickBot="1" x14ac:dyDescent="0.35">
      <c r="A215" s="3" t="s">
        <v>360</v>
      </c>
      <c r="B215" s="8">
        <v>45707</v>
      </c>
      <c r="C215" s="4" t="s">
        <v>42</v>
      </c>
      <c r="D215" s="4" t="s">
        <v>43</v>
      </c>
      <c r="E215" s="4" t="s">
        <v>44</v>
      </c>
      <c r="F215" s="4" t="s">
        <v>45</v>
      </c>
      <c r="G215" s="4" t="s">
        <v>46</v>
      </c>
      <c r="H215" s="38">
        <v>3</v>
      </c>
      <c r="I215" s="4">
        <v>149.99</v>
      </c>
      <c r="J215" s="4" t="s">
        <v>34</v>
      </c>
      <c r="K215" s="4" t="s">
        <v>21</v>
      </c>
      <c r="L215" s="4" t="s">
        <v>36</v>
      </c>
      <c r="M215" s="8">
        <v>44633</v>
      </c>
      <c r="N215" s="34">
        <v>449.97</v>
      </c>
      <c r="O215" s="4">
        <f ca="1">DATEDIF(Table1[[#This Row],[Customer_Since]],TODAY(),"Y")</f>
        <v>3</v>
      </c>
      <c r="P215" s="12">
        <f ca="1">DATEDIF(Table1[[#This Row],[Date]],TODAY(),"M")</f>
        <v>12</v>
      </c>
      <c r="Q215" s="12" t="str">
        <f ca="1">IF(Table1[[#This Row],[Months_Since_Purchase]]&gt;12,"Inactive","Active")</f>
        <v>Active</v>
      </c>
      <c r="R215" s="14">
        <f>EOMONTH(Table1[[#This Row],[Date]],0)</f>
        <v>45716</v>
      </c>
      <c r="S215" s="13" t="str">
        <f>IF(Table1[[#This Row],[Total_Amount]]&gt;=700,"High",
 IF(Table1[[#This Row],[Total_Amount]]&gt;=300,"Medium","Low"))</f>
        <v>Medium</v>
      </c>
      <c r="T215" s="13">
        <f>Table1[[#This Row],[Total_Amount]]*(1-$AC$8)*0.3</f>
        <v>98.164219793084911</v>
      </c>
      <c r="U215" s="13">
        <f t="shared" si="6"/>
        <v>6169.7400000000007</v>
      </c>
      <c r="V215" s="13" t="str">
        <f>IF(Table1[[#This Row],[Customer_Total_Spend]]&gt;5000,"Yes","No")</f>
        <v>Yes</v>
      </c>
      <c r="W215" s="13">
        <f t="shared" si="7"/>
        <v>35</v>
      </c>
    </row>
    <row r="216" spans="1:23" ht="15" thickBot="1" x14ac:dyDescent="0.35">
      <c r="A216" s="3" t="s">
        <v>361</v>
      </c>
      <c r="B216" s="8">
        <v>45708</v>
      </c>
      <c r="C216" s="4" t="s">
        <v>96</v>
      </c>
      <c r="D216" s="4" t="s">
        <v>97</v>
      </c>
      <c r="E216" s="4" t="s">
        <v>61</v>
      </c>
      <c r="F216" s="4" t="s">
        <v>62</v>
      </c>
      <c r="G216" s="4" t="s">
        <v>19</v>
      </c>
      <c r="H216" s="38">
        <v>3</v>
      </c>
      <c r="I216" s="4">
        <v>899.99</v>
      </c>
      <c r="J216" s="4" t="s">
        <v>20</v>
      </c>
      <c r="K216" s="4" t="s">
        <v>63</v>
      </c>
      <c r="L216" s="4" t="s">
        <v>36</v>
      </c>
      <c r="M216" s="8">
        <v>44613</v>
      </c>
      <c r="N216" s="34">
        <v>2699.97</v>
      </c>
      <c r="O216" s="4">
        <f ca="1">DATEDIF(Table1[[#This Row],[Customer_Since]],TODAY(),"Y")</f>
        <v>4</v>
      </c>
      <c r="P216" s="12">
        <f ca="1">DATEDIF(Table1[[#This Row],[Date]],TODAY(),"M")</f>
        <v>12</v>
      </c>
      <c r="Q216" s="12" t="str">
        <f ca="1">IF(Table1[[#This Row],[Months_Since_Purchase]]&gt;12,"Inactive","Active")</f>
        <v>Active</v>
      </c>
      <c r="R216" s="14">
        <f>EOMONTH(Table1[[#This Row],[Date]],0)</f>
        <v>45716</v>
      </c>
      <c r="S216" s="13" t="str">
        <f>IF(Table1[[#This Row],[Total_Amount]]&gt;=700,"High",
 IF(Table1[[#This Row],[Total_Amount]]&gt;=300,"Medium","Low"))</f>
        <v>High</v>
      </c>
      <c r="T216" s="13">
        <f>Table1[[#This Row],[Total_Amount]]*(1-$AC$8)*0.3</f>
        <v>589.01804234667964</v>
      </c>
      <c r="U216" s="13">
        <f t="shared" si="6"/>
        <v>10649.8</v>
      </c>
      <c r="V216" s="13" t="str">
        <f>IF(Table1[[#This Row],[Customer_Total_Spend]]&gt;5000,"Yes","No")</f>
        <v>Yes</v>
      </c>
      <c r="W216" s="13">
        <f t="shared" si="7"/>
        <v>24</v>
      </c>
    </row>
    <row r="217" spans="1:23" ht="15" thickBot="1" x14ac:dyDescent="0.35">
      <c r="A217" s="3" t="s">
        <v>362</v>
      </c>
      <c r="B217" s="8">
        <v>45708</v>
      </c>
      <c r="C217" s="4" t="s">
        <v>192</v>
      </c>
      <c r="D217" s="4" t="s">
        <v>193</v>
      </c>
      <c r="E217" s="4" t="s">
        <v>126</v>
      </c>
      <c r="F217" s="4" t="s">
        <v>127</v>
      </c>
      <c r="G217" s="4" t="s">
        <v>46</v>
      </c>
      <c r="H217" s="38">
        <v>3</v>
      </c>
      <c r="I217" s="4">
        <v>199.99</v>
      </c>
      <c r="J217" s="4" t="s">
        <v>20</v>
      </c>
      <c r="K217" s="4" t="s">
        <v>50</v>
      </c>
      <c r="L217" s="4" t="s">
        <v>27</v>
      </c>
      <c r="M217" s="8">
        <v>44823</v>
      </c>
      <c r="N217" s="34">
        <v>599.97</v>
      </c>
      <c r="O217" s="4">
        <f ca="1">DATEDIF(Table1[[#This Row],[Customer_Since]],TODAY(),"Y")</f>
        <v>3</v>
      </c>
      <c r="P217" s="12">
        <f ca="1">DATEDIF(Table1[[#This Row],[Date]],TODAY(),"M")</f>
        <v>12</v>
      </c>
      <c r="Q217" s="12" t="str">
        <f ca="1">IF(Table1[[#This Row],[Months_Since_Purchase]]&gt;12,"Inactive","Active")</f>
        <v>Active</v>
      </c>
      <c r="R217" s="14">
        <f>EOMONTH(Table1[[#This Row],[Date]],0)</f>
        <v>45716</v>
      </c>
      <c r="S217" s="13" t="str">
        <f>IF(Table1[[#This Row],[Total_Amount]]&gt;=700,"High",
 IF(Table1[[#This Row],[Total_Amount]]&gt;=300,"Medium","Low"))</f>
        <v>Medium</v>
      </c>
      <c r="T217" s="13">
        <f>Table1[[#This Row],[Total_Amount]]*(1-$AC$8)*0.3</f>
        <v>130.88780796332455</v>
      </c>
      <c r="U217" s="13">
        <f t="shared" si="6"/>
        <v>1479.91</v>
      </c>
      <c r="V217" s="13" t="str">
        <f>IF(Table1[[#This Row],[Customer_Total_Spend]]&gt;5000,"Yes","No")</f>
        <v>No</v>
      </c>
      <c r="W217" s="13">
        <f t="shared" si="7"/>
        <v>15</v>
      </c>
    </row>
    <row r="218" spans="1:23" ht="15" thickBot="1" x14ac:dyDescent="0.35">
      <c r="A218" s="3" t="s">
        <v>363</v>
      </c>
      <c r="B218" s="8">
        <v>45710</v>
      </c>
      <c r="C218" s="4" t="s">
        <v>55</v>
      </c>
      <c r="D218" s="4" t="s">
        <v>56</v>
      </c>
      <c r="E218" s="4" t="s">
        <v>105</v>
      </c>
      <c r="F218" s="4" t="s">
        <v>106</v>
      </c>
      <c r="G218" s="4" t="s">
        <v>46</v>
      </c>
      <c r="H218" s="38">
        <v>5</v>
      </c>
      <c r="I218" s="4">
        <v>299.99</v>
      </c>
      <c r="J218" s="4" t="s">
        <v>20</v>
      </c>
      <c r="K218" s="4" t="s">
        <v>50</v>
      </c>
      <c r="L218" s="4" t="s">
        <v>36</v>
      </c>
      <c r="M218" s="8">
        <v>45142</v>
      </c>
      <c r="N218" s="34">
        <v>1499.95</v>
      </c>
      <c r="O218" s="4">
        <f ca="1">DATEDIF(Table1[[#This Row],[Customer_Since]],TODAY(),"Y")</f>
        <v>2</v>
      </c>
      <c r="P218" s="12">
        <f ca="1">DATEDIF(Table1[[#This Row],[Date]],TODAY(),"M")</f>
        <v>12</v>
      </c>
      <c r="Q218" s="12" t="str">
        <f ca="1">IF(Table1[[#This Row],[Months_Since_Purchase]]&gt;12,"Inactive","Active")</f>
        <v>Active</v>
      </c>
      <c r="R218" s="14">
        <f>EOMONTH(Table1[[#This Row],[Date]],0)</f>
        <v>45716</v>
      </c>
      <c r="S218" s="13" t="str">
        <f>IF(Table1[[#This Row],[Total_Amount]]&gt;=700,"High",
 IF(Table1[[#This Row],[Total_Amount]]&gt;=300,"Medium","Low"))</f>
        <v>High</v>
      </c>
      <c r="T218" s="13">
        <f>Table1[[#This Row],[Total_Amount]]*(1-$AC$8)*0.3</f>
        <v>327.22497383967311</v>
      </c>
      <c r="U218" s="13">
        <f t="shared" si="6"/>
        <v>5089.7300000000005</v>
      </c>
      <c r="V218" s="13" t="str">
        <f>IF(Table1[[#This Row],[Customer_Total_Spend]]&gt;5000,"Yes","No")</f>
        <v>Yes</v>
      </c>
      <c r="W218" s="13">
        <f t="shared" si="7"/>
        <v>26</v>
      </c>
    </row>
    <row r="219" spans="1:23" ht="15" thickBot="1" x14ac:dyDescent="0.35">
      <c r="A219" s="3" t="s">
        <v>364</v>
      </c>
      <c r="B219" s="8">
        <v>45710</v>
      </c>
      <c r="C219" s="4" t="s">
        <v>150</v>
      </c>
      <c r="D219" s="4" t="s">
        <v>151</v>
      </c>
      <c r="E219" s="4" t="s">
        <v>80</v>
      </c>
      <c r="F219" s="4" t="s">
        <v>81</v>
      </c>
      <c r="G219" s="4" t="s">
        <v>19</v>
      </c>
      <c r="H219" s="38">
        <v>1</v>
      </c>
      <c r="I219" s="4">
        <v>699.99</v>
      </c>
      <c r="J219" s="4" t="s">
        <v>34</v>
      </c>
      <c r="K219" s="4" t="s">
        <v>50</v>
      </c>
      <c r="L219" s="4" t="s">
        <v>22</v>
      </c>
      <c r="M219" s="8">
        <v>44934</v>
      </c>
      <c r="N219" s="34">
        <v>699.99</v>
      </c>
      <c r="O219" s="4">
        <f ca="1">DATEDIF(Table1[[#This Row],[Customer_Since]],TODAY(),"Y")</f>
        <v>3</v>
      </c>
      <c r="P219" s="12">
        <f ca="1">DATEDIF(Table1[[#This Row],[Date]],TODAY(),"M")</f>
        <v>12</v>
      </c>
      <c r="Q219" s="12" t="str">
        <f ca="1">IF(Table1[[#This Row],[Months_Since_Purchase]]&gt;12,"Inactive","Active")</f>
        <v>Active</v>
      </c>
      <c r="R219" s="14">
        <f>EOMONTH(Table1[[#This Row],[Date]],0)</f>
        <v>45716</v>
      </c>
      <c r="S219" s="13" t="str">
        <f>IF(Table1[[#This Row],[Total_Amount]]&gt;=700,"High",
 IF(Table1[[#This Row],[Total_Amount]]&gt;=300,"Medium","Low"))</f>
        <v>Medium</v>
      </c>
      <c r="T219" s="13">
        <f>Table1[[#This Row],[Total_Amount]]*(1-$AC$8)*0.3</f>
        <v>152.70789655524032</v>
      </c>
      <c r="U219" s="13">
        <f t="shared" si="6"/>
        <v>5619.869999999999</v>
      </c>
      <c r="V219" s="13" t="str">
        <f>IF(Table1[[#This Row],[Customer_Total_Spend]]&gt;5000,"Yes","No")</f>
        <v>Yes</v>
      </c>
      <c r="W219" s="13">
        <f t="shared" si="7"/>
        <v>31</v>
      </c>
    </row>
    <row r="220" spans="1:23" ht="15" thickBot="1" x14ac:dyDescent="0.35">
      <c r="A220" s="3" t="s">
        <v>365</v>
      </c>
      <c r="B220" s="8">
        <v>45711</v>
      </c>
      <c r="C220" s="4" t="s">
        <v>246</v>
      </c>
      <c r="D220" s="4" t="s">
        <v>247</v>
      </c>
      <c r="E220" s="4" t="s">
        <v>80</v>
      </c>
      <c r="F220" s="4" t="s">
        <v>81</v>
      </c>
      <c r="G220" s="4" t="s">
        <v>19</v>
      </c>
      <c r="H220" s="38">
        <v>1</v>
      </c>
      <c r="I220" s="4">
        <v>699.99</v>
      </c>
      <c r="J220" s="4" t="s">
        <v>20</v>
      </c>
      <c r="K220" s="4" t="s">
        <v>40</v>
      </c>
      <c r="L220" s="4" t="s">
        <v>27</v>
      </c>
      <c r="M220" s="8">
        <v>44583</v>
      </c>
      <c r="N220" s="34">
        <v>699.99</v>
      </c>
      <c r="O220" s="4">
        <f ca="1">DATEDIF(Table1[[#This Row],[Customer_Since]],TODAY(),"Y")</f>
        <v>4</v>
      </c>
      <c r="P220" s="12">
        <f ca="1">DATEDIF(Table1[[#This Row],[Date]],TODAY(),"M")</f>
        <v>12</v>
      </c>
      <c r="Q220" s="12" t="str">
        <f ca="1">IF(Table1[[#This Row],[Months_Since_Purchase]]&gt;12,"Inactive","Active")</f>
        <v>Active</v>
      </c>
      <c r="R220" s="14">
        <f>EOMONTH(Table1[[#This Row],[Date]],0)</f>
        <v>45716</v>
      </c>
      <c r="S220" s="13" t="str">
        <f>IF(Table1[[#This Row],[Total_Amount]]&gt;=700,"High",
 IF(Table1[[#This Row],[Total_Amount]]&gt;=300,"Medium","Low"))</f>
        <v>Medium</v>
      </c>
      <c r="T220" s="13">
        <f>Table1[[#This Row],[Total_Amount]]*(1-$AC$8)*0.3</f>
        <v>152.70789655524032</v>
      </c>
      <c r="U220" s="13">
        <f t="shared" si="6"/>
        <v>1749.92</v>
      </c>
      <c r="V220" s="13" t="str">
        <f>IF(Table1[[#This Row],[Customer_Total_Spend]]&gt;5000,"Yes","No")</f>
        <v>No</v>
      </c>
      <c r="W220" s="13">
        <f t="shared" si="7"/>
        <v>31</v>
      </c>
    </row>
    <row r="221" spans="1:23" ht="15" thickBot="1" x14ac:dyDescent="0.35">
      <c r="A221" s="3" t="s">
        <v>366</v>
      </c>
      <c r="B221" s="8">
        <v>45711</v>
      </c>
      <c r="C221" s="4" t="s">
        <v>325</v>
      </c>
      <c r="D221" s="4" t="s">
        <v>326</v>
      </c>
      <c r="E221" s="4" t="s">
        <v>44</v>
      </c>
      <c r="F221" s="4" t="s">
        <v>45</v>
      </c>
      <c r="G221" s="4" t="s">
        <v>46</v>
      </c>
      <c r="H221" s="38">
        <v>4</v>
      </c>
      <c r="I221" s="4">
        <v>149.99</v>
      </c>
      <c r="J221" s="4" t="s">
        <v>34</v>
      </c>
      <c r="K221" s="4" t="s">
        <v>40</v>
      </c>
      <c r="L221" s="4" t="s">
        <v>27</v>
      </c>
      <c r="M221" s="8">
        <v>44412</v>
      </c>
      <c r="N221" s="34">
        <v>599.96</v>
      </c>
      <c r="O221" s="4">
        <f ca="1">DATEDIF(Table1[[#This Row],[Customer_Since]],TODAY(),"Y")</f>
        <v>4</v>
      </c>
      <c r="P221" s="12">
        <f ca="1">DATEDIF(Table1[[#This Row],[Date]],TODAY(),"M")</f>
        <v>12</v>
      </c>
      <c r="Q221" s="12" t="str">
        <f ca="1">IF(Table1[[#This Row],[Months_Since_Purchase]]&gt;12,"Inactive","Active")</f>
        <v>Active</v>
      </c>
      <c r="R221" s="14">
        <f>EOMONTH(Table1[[#This Row],[Date]],0)</f>
        <v>45716</v>
      </c>
      <c r="S221" s="13" t="str">
        <f>IF(Table1[[#This Row],[Total_Amount]]&gt;=700,"High",
 IF(Table1[[#This Row],[Total_Amount]]&gt;=300,"Medium","Low"))</f>
        <v>Medium</v>
      </c>
      <c r="T221" s="13">
        <f>Table1[[#This Row],[Total_Amount]]*(1-$AC$8)*0.3</f>
        <v>130.88562639077986</v>
      </c>
      <c r="U221" s="13">
        <f t="shared" si="6"/>
        <v>1559.94</v>
      </c>
      <c r="V221" s="13" t="str">
        <f>IF(Table1[[#This Row],[Customer_Total_Spend]]&gt;5000,"Yes","No")</f>
        <v>No</v>
      </c>
      <c r="W221" s="13">
        <f t="shared" si="7"/>
        <v>35</v>
      </c>
    </row>
    <row r="222" spans="1:23" ht="15" thickBot="1" x14ac:dyDescent="0.35">
      <c r="A222" s="3" t="s">
        <v>367</v>
      </c>
      <c r="B222" s="8">
        <v>45711</v>
      </c>
      <c r="C222" s="4" t="s">
        <v>211</v>
      </c>
      <c r="D222" s="4" t="s">
        <v>212</v>
      </c>
      <c r="E222" s="4" t="s">
        <v>117</v>
      </c>
      <c r="F222" s="4" t="s">
        <v>118</v>
      </c>
      <c r="G222" s="4" t="s">
        <v>19</v>
      </c>
      <c r="H222" s="38">
        <v>5</v>
      </c>
      <c r="I222" s="4">
        <v>89.99</v>
      </c>
      <c r="J222" s="4" t="s">
        <v>34</v>
      </c>
      <c r="K222" s="4" t="s">
        <v>50</v>
      </c>
      <c r="L222" s="4" t="s">
        <v>27</v>
      </c>
      <c r="M222" s="8">
        <v>45140</v>
      </c>
      <c r="N222" s="34">
        <v>449.95</v>
      </c>
      <c r="O222" s="4">
        <f ca="1">DATEDIF(Table1[[#This Row],[Customer_Since]],TODAY(),"Y")</f>
        <v>2</v>
      </c>
      <c r="P222" s="12">
        <f ca="1">DATEDIF(Table1[[#This Row],[Date]],TODAY(),"M")</f>
        <v>12</v>
      </c>
      <c r="Q222" s="12" t="str">
        <f ca="1">IF(Table1[[#This Row],[Months_Since_Purchase]]&gt;12,"Inactive","Active")</f>
        <v>Active</v>
      </c>
      <c r="R222" s="14">
        <f>EOMONTH(Table1[[#This Row],[Date]],0)</f>
        <v>45716</v>
      </c>
      <c r="S222" s="13" t="str">
        <f>IF(Table1[[#This Row],[Total_Amount]]&gt;=700,"High",
 IF(Table1[[#This Row],[Total_Amount]]&gt;=300,"Medium","Low"))</f>
        <v>Medium</v>
      </c>
      <c r="T222" s="13">
        <f>Table1[[#This Row],[Total_Amount]]*(1-$AC$8)*0.3</f>
        <v>98.159856647995539</v>
      </c>
      <c r="U222" s="13">
        <f t="shared" si="6"/>
        <v>3649.8599999999997</v>
      </c>
      <c r="V222" s="13" t="str">
        <f>IF(Table1[[#This Row],[Customer_Total_Spend]]&gt;5000,"Yes","No")</f>
        <v>No</v>
      </c>
      <c r="W222" s="13">
        <f t="shared" si="7"/>
        <v>34</v>
      </c>
    </row>
    <row r="223" spans="1:23" ht="15" thickBot="1" x14ac:dyDescent="0.35">
      <c r="A223" s="3" t="s">
        <v>368</v>
      </c>
      <c r="B223" s="8">
        <v>45712</v>
      </c>
      <c r="C223" s="4" t="s">
        <v>138</v>
      </c>
      <c r="D223" s="4" t="s">
        <v>139</v>
      </c>
      <c r="E223" s="4" t="s">
        <v>126</v>
      </c>
      <c r="F223" s="4" t="s">
        <v>127</v>
      </c>
      <c r="G223" s="4" t="s">
        <v>46</v>
      </c>
      <c r="H223" s="38">
        <v>2</v>
      </c>
      <c r="I223" s="4">
        <v>199.99</v>
      </c>
      <c r="J223" s="4" t="s">
        <v>20</v>
      </c>
      <c r="K223" s="4" t="s">
        <v>21</v>
      </c>
      <c r="L223" s="4" t="s">
        <v>27</v>
      </c>
      <c r="M223" s="8">
        <v>44573</v>
      </c>
      <c r="N223" s="34">
        <v>399.98</v>
      </c>
      <c r="O223" s="4">
        <f ca="1">DATEDIF(Table1[[#This Row],[Customer_Since]],TODAY(),"Y")</f>
        <v>4</v>
      </c>
      <c r="P223" s="12">
        <f ca="1">DATEDIF(Table1[[#This Row],[Date]],TODAY(),"M")</f>
        <v>12</v>
      </c>
      <c r="Q223" s="12" t="str">
        <f ca="1">IF(Table1[[#This Row],[Months_Since_Purchase]]&gt;12,"Inactive","Active")</f>
        <v>Active</v>
      </c>
      <c r="R223" s="14">
        <f>EOMONTH(Table1[[#This Row],[Date]],0)</f>
        <v>45716</v>
      </c>
      <c r="S223" s="13" t="str">
        <f>IF(Table1[[#This Row],[Total_Amount]]&gt;=700,"High",
 IF(Table1[[#This Row],[Total_Amount]]&gt;=300,"Medium","Low"))</f>
        <v>Medium</v>
      </c>
      <c r="T223" s="13">
        <f>Table1[[#This Row],[Total_Amount]]*(1-$AC$8)*0.3</f>
        <v>87.258538642216379</v>
      </c>
      <c r="U223" s="13">
        <f t="shared" si="6"/>
        <v>2649.83</v>
      </c>
      <c r="V223" s="13" t="str">
        <f>IF(Table1[[#This Row],[Customer_Total_Spend]]&gt;5000,"Yes","No")</f>
        <v>No</v>
      </c>
      <c r="W223" s="13">
        <f t="shared" si="7"/>
        <v>15</v>
      </c>
    </row>
    <row r="224" spans="1:23" ht="15" thickBot="1" x14ac:dyDescent="0.35">
      <c r="A224" s="3" t="s">
        <v>369</v>
      </c>
      <c r="B224" s="8">
        <v>45715</v>
      </c>
      <c r="C224" s="4" t="s">
        <v>259</v>
      </c>
      <c r="D224" s="4" t="s">
        <v>260</v>
      </c>
      <c r="E224" s="4" t="s">
        <v>31</v>
      </c>
      <c r="F224" s="4" t="s">
        <v>32</v>
      </c>
      <c r="G224" s="4" t="s">
        <v>33</v>
      </c>
      <c r="H224" s="38">
        <v>4</v>
      </c>
      <c r="I224" s="4">
        <v>59.99</v>
      </c>
      <c r="J224" s="4" t="s">
        <v>20</v>
      </c>
      <c r="K224" s="4" t="s">
        <v>50</v>
      </c>
      <c r="L224" s="4" t="s">
        <v>36</v>
      </c>
      <c r="M224" s="8">
        <v>45070</v>
      </c>
      <c r="N224" s="34">
        <v>239.96</v>
      </c>
      <c r="O224" s="4">
        <f ca="1">DATEDIF(Table1[[#This Row],[Customer_Since]],TODAY(),"Y")</f>
        <v>2</v>
      </c>
      <c r="P224" s="12">
        <f ca="1">DATEDIF(Table1[[#This Row],[Date]],TODAY(),"M")</f>
        <v>12</v>
      </c>
      <c r="Q224" s="12" t="str">
        <f ca="1">IF(Table1[[#This Row],[Months_Since_Purchase]]&gt;12,"Inactive","Active")</f>
        <v>Active</v>
      </c>
      <c r="R224" s="14">
        <f>EOMONTH(Table1[[#This Row],[Date]],0)</f>
        <v>45716</v>
      </c>
      <c r="S224" s="13" t="str">
        <f>IF(Table1[[#This Row],[Total_Amount]]&gt;=700,"High",
 IF(Table1[[#This Row],[Total_Amount]]&gt;=300,"Medium","Low"))</f>
        <v>Low</v>
      </c>
      <c r="T224" s="13">
        <f>Table1[[#This Row],[Total_Amount]]*(1-$AC$8)*0.3</f>
        <v>52.349014782204712</v>
      </c>
      <c r="U224" s="13">
        <f t="shared" si="6"/>
        <v>739.93000000000006</v>
      </c>
      <c r="V224" s="13" t="str">
        <f>IF(Table1[[#This Row],[Customer_Total_Spend]]&gt;5000,"Yes","No")</f>
        <v>No</v>
      </c>
      <c r="W224" s="13">
        <f t="shared" si="7"/>
        <v>29</v>
      </c>
    </row>
    <row r="225" spans="1:23" ht="15" thickBot="1" x14ac:dyDescent="0.35">
      <c r="A225" s="3" t="s">
        <v>370</v>
      </c>
      <c r="B225" s="8">
        <v>45715</v>
      </c>
      <c r="C225" s="4" t="s">
        <v>93</v>
      </c>
      <c r="D225" s="4" t="s">
        <v>94</v>
      </c>
      <c r="E225" s="4" t="s">
        <v>105</v>
      </c>
      <c r="F225" s="4" t="s">
        <v>106</v>
      </c>
      <c r="G225" s="4" t="s">
        <v>46</v>
      </c>
      <c r="H225" s="38">
        <v>2</v>
      </c>
      <c r="I225" s="4">
        <v>299.99</v>
      </c>
      <c r="J225" s="4" t="s">
        <v>34</v>
      </c>
      <c r="K225" s="4" t="s">
        <v>35</v>
      </c>
      <c r="L225" s="4" t="s">
        <v>22</v>
      </c>
      <c r="M225" s="8">
        <v>44576</v>
      </c>
      <c r="N225" s="34">
        <v>599.98</v>
      </c>
      <c r="O225" s="4">
        <f ca="1">DATEDIF(Table1[[#This Row],[Customer_Since]],TODAY(),"Y")</f>
        <v>4</v>
      </c>
      <c r="P225" s="12">
        <f ca="1">DATEDIF(Table1[[#This Row],[Date]],TODAY(),"M")</f>
        <v>12</v>
      </c>
      <c r="Q225" s="12" t="str">
        <f ca="1">IF(Table1[[#This Row],[Months_Since_Purchase]]&gt;12,"Inactive","Active")</f>
        <v>Active</v>
      </c>
      <c r="R225" s="14">
        <f>EOMONTH(Table1[[#This Row],[Date]],0)</f>
        <v>45716</v>
      </c>
      <c r="S225" s="13" t="str">
        <f>IF(Table1[[#This Row],[Total_Amount]]&gt;=700,"High",
 IF(Table1[[#This Row],[Total_Amount]]&gt;=300,"Medium","Low"))</f>
        <v>Medium</v>
      </c>
      <c r="T225" s="13">
        <f>Table1[[#This Row],[Total_Amount]]*(1-$AC$8)*0.3</f>
        <v>130.88998953586923</v>
      </c>
      <c r="U225" s="13">
        <f t="shared" si="6"/>
        <v>4789.7900000000009</v>
      </c>
      <c r="V225" s="13" t="str">
        <f>IF(Table1[[#This Row],[Customer_Total_Spend]]&gt;5000,"Yes","No")</f>
        <v>No</v>
      </c>
      <c r="W225" s="13">
        <f t="shared" si="7"/>
        <v>26</v>
      </c>
    </row>
    <row r="226" spans="1:23" ht="15" thickBot="1" x14ac:dyDescent="0.35">
      <c r="A226" s="3" t="s">
        <v>371</v>
      </c>
      <c r="B226" s="8">
        <v>45718</v>
      </c>
      <c r="C226" s="4" t="s">
        <v>55</v>
      </c>
      <c r="D226" s="4" t="s">
        <v>56</v>
      </c>
      <c r="E226" s="4" t="s">
        <v>44</v>
      </c>
      <c r="F226" s="4" t="s">
        <v>45</v>
      </c>
      <c r="G226" s="4" t="s">
        <v>46</v>
      </c>
      <c r="H226" s="38">
        <v>2</v>
      </c>
      <c r="I226" s="4">
        <v>149.99</v>
      </c>
      <c r="J226" s="4" t="s">
        <v>20</v>
      </c>
      <c r="K226" s="4" t="s">
        <v>21</v>
      </c>
      <c r="L226" s="4" t="s">
        <v>22</v>
      </c>
      <c r="M226" s="8">
        <v>45068</v>
      </c>
      <c r="N226" s="34">
        <v>299.98</v>
      </c>
      <c r="O226" s="4">
        <f ca="1">DATEDIF(Table1[[#This Row],[Customer_Since]],TODAY(),"Y")</f>
        <v>2</v>
      </c>
      <c r="P226" s="12">
        <f ca="1">DATEDIF(Table1[[#This Row],[Date]],TODAY(),"M")</f>
        <v>12</v>
      </c>
      <c r="Q226" s="12" t="str">
        <f ca="1">IF(Table1[[#This Row],[Months_Since_Purchase]]&gt;12,"Inactive","Active")</f>
        <v>Active</v>
      </c>
      <c r="R226" s="14">
        <f>EOMONTH(Table1[[#This Row],[Date]],0)</f>
        <v>45747</v>
      </c>
      <c r="S226" s="13" t="str">
        <f>IF(Table1[[#This Row],[Total_Amount]]&gt;=700,"High",
 IF(Table1[[#This Row],[Total_Amount]]&gt;=300,"Medium","Low"))</f>
        <v>Low</v>
      </c>
      <c r="T226" s="13">
        <f>Table1[[#This Row],[Total_Amount]]*(1-$AC$8)*0.3</f>
        <v>65.442813195389931</v>
      </c>
      <c r="U226" s="13">
        <f t="shared" si="6"/>
        <v>5089.7300000000005</v>
      </c>
      <c r="V226" s="13" t="str">
        <f>IF(Table1[[#This Row],[Customer_Total_Spend]]&gt;5000,"Yes","No")</f>
        <v>Yes</v>
      </c>
      <c r="W226" s="13">
        <f t="shared" si="7"/>
        <v>35</v>
      </c>
    </row>
    <row r="227" spans="1:23" ht="15" thickBot="1" x14ac:dyDescent="0.35">
      <c r="A227" s="3" t="s">
        <v>372</v>
      </c>
      <c r="B227" s="8">
        <v>45720</v>
      </c>
      <c r="C227" s="4" t="s">
        <v>226</v>
      </c>
      <c r="D227" s="4" t="s">
        <v>227</v>
      </c>
      <c r="E227" s="4" t="s">
        <v>80</v>
      </c>
      <c r="F227" s="4" t="s">
        <v>81</v>
      </c>
      <c r="G227" s="4" t="s">
        <v>19</v>
      </c>
      <c r="H227" s="38">
        <v>5</v>
      </c>
      <c r="I227" s="4">
        <v>699.99</v>
      </c>
      <c r="J227" s="4" t="s">
        <v>57</v>
      </c>
      <c r="K227" s="4" t="s">
        <v>63</v>
      </c>
      <c r="L227" s="4" t="s">
        <v>27</v>
      </c>
      <c r="M227" s="8">
        <v>45161</v>
      </c>
      <c r="N227" s="34">
        <v>3499.95</v>
      </c>
      <c r="O227" s="4">
        <f ca="1">DATEDIF(Table1[[#This Row],[Customer_Since]],TODAY(),"Y")</f>
        <v>2</v>
      </c>
      <c r="P227" s="12">
        <f ca="1">DATEDIF(Table1[[#This Row],[Date]],TODAY(),"M")</f>
        <v>12</v>
      </c>
      <c r="Q227" s="12" t="str">
        <f ca="1">IF(Table1[[#This Row],[Months_Since_Purchase]]&gt;12,"Inactive","Active")</f>
        <v>Active</v>
      </c>
      <c r="R227" s="14">
        <f>EOMONTH(Table1[[#This Row],[Date]],0)</f>
        <v>45747</v>
      </c>
      <c r="S227" s="13" t="str">
        <f>IF(Table1[[#This Row],[Total_Amount]]&gt;=700,"High",
 IF(Table1[[#This Row],[Total_Amount]]&gt;=300,"Medium","Low"))</f>
        <v>High</v>
      </c>
      <c r="T227" s="13">
        <f>Table1[[#This Row],[Total_Amount]]*(1-$AC$8)*0.3</f>
        <v>763.53948277620168</v>
      </c>
      <c r="U227" s="13">
        <f t="shared" si="6"/>
        <v>6989.7699999999986</v>
      </c>
      <c r="V227" s="13" t="str">
        <f>IF(Table1[[#This Row],[Customer_Total_Spend]]&gt;5000,"Yes","No")</f>
        <v>Yes</v>
      </c>
      <c r="W227" s="13">
        <f t="shared" si="7"/>
        <v>31</v>
      </c>
    </row>
    <row r="228" spans="1:23" ht="15" thickBot="1" x14ac:dyDescent="0.35">
      <c r="A228" s="3" t="s">
        <v>373</v>
      </c>
      <c r="B228" s="8">
        <v>45721</v>
      </c>
      <c r="C228" s="4" t="s">
        <v>75</v>
      </c>
      <c r="D228" s="4" t="s">
        <v>76</v>
      </c>
      <c r="E228" s="4" t="s">
        <v>31</v>
      </c>
      <c r="F228" s="4" t="s">
        <v>32</v>
      </c>
      <c r="G228" s="4" t="s">
        <v>33</v>
      </c>
      <c r="H228" s="38">
        <v>5</v>
      </c>
      <c r="I228" s="4">
        <v>59.99</v>
      </c>
      <c r="J228" s="4" t="s">
        <v>20</v>
      </c>
      <c r="K228" s="4" t="s">
        <v>50</v>
      </c>
      <c r="L228" s="4" t="s">
        <v>27</v>
      </c>
      <c r="M228" s="8">
        <v>45291</v>
      </c>
      <c r="N228" s="34">
        <v>299.95</v>
      </c>
      <c r="O228" s="4">
        <f ca="1">DATEDIF(Table1[[#This Row],[Customer_Since]],TODAY(),"Y")</f>
        <v>2</v>
      </c>
      <c r="P228" s="12">
        <f ca="1">DATEDIF(Table1[[#This Row],[Date]],TODAY(),"M")</f>
        <v>11</v>
      </c>
      <c r="Q228" s="12" t="str">
        <f ca="1">IF(Table1[[#This Row],[Months_Since_Purchase]]&gt;12,"Inactive","Active")</f>
        <v>Active</v>
      </c>
      <c r="R228" s="14">
        <f>EOMONTH(Table1[[#This Row],[Date]],0)</f>
        <v>45747</v>
      </c>
      <c r="S228" s="13" t="str">
        <f>IF(Table1[[#This Row],[Total_Amount]]&gt;=700,"High",
 IF(Table1[[#This Row],[Total_Amount]]&gt;=300,"Medium","Low"))</f>
        <v>Low</v>
      </c>
      <c r="T228" s="13">
        <f>Table1[[#This Row],[Total_Amount]]*(1-$AC$8)*0.3</f>
        <v>65.436268477755888</v>
      </c>
      <c r="U228" s="13">
        <f t="shared" si="6"/>
        <v>479.91999999999996</v>
      </c>
      <c r="V228" s="13" t="str">
        <f>IF(Table1[[#This Row],[Customer_Total_Spend]]&gt;5000,"Yes","No")</f>
        <v>No</v>
      </c>
      <c r="W228" s="13">
        <f t="shared" si="7"/>
        <v>29</v>
      </c>
    </row>
    <row r="229" spans="1:23" ht="15" thickBot="1" x14ac:dyDescent="0.35">
      <c r="A229" s="3" t="s">
        <v>374</v>
      </c>
      <c r="B229" s="8">
        <v>45723</v>
      </c>
      <c r="C229" s="4" t="s">
        <v>15</v>
      </c>
      <c r="D229" s="4" t="s">
        <v>16</v>
      </c>
      <c r="E229" s="4" t="s">
        <v>117</v>
      </c>
      <c r="F229" s="4" t="s">
        <v>118</v>
      </c>
      <c r="G229" s="4" t="s">
        <v>19</v>
      </c>
      <c r="H229" s="38">
        <v>2</v>
      </c>
      <c r="I229" s="4">
        <v>89.99</v>
      </c>
      <c r="J229" s="4" t="s">
        <v>26</v>
      </c>
      <c r="K229" s="4" t="s">
        <v>50</v>
      </c>
      <c r="L229" s="4" t="s">
        <v>27</v>
      </c>
      <c r="M229" s="8">
        <v>45295</v>
      </c>
      <c r="N229" s="34">
        <v>179.98</v>
      </c>
      <c r="O229" s="4">
        <f ca="1">DATEDIF(Table1[[#This Row],[Customer_Since]],TODAY(),"Y")</f>
        <v>2</v>
      </c>
      <c r="P229" s="12">
        <f ca="1">DATEDIF(Table1[[#This Row],[Date]],TODAY(),"M")</f>
        <v>11</v>
      </c>
      <c r="Q229" s="12" t="str">
        <f ca="1">IF(Table1[[#This Row],[Months_Since_Purchase]]&gt;12,"Inactive","Active")</f>
        <v>Active</v>
      </c>
      <c r="R229" s="14">
        <f>EOMONTH(Table1[[#This Row],[Date]],0)</f>
        <v>45747</v>
      </c>
      <c r="S229" s="13" t="str">
        <f>IF(Table1[[#This Row],[Total_Amount]]&gt;=700,"High",
 IF(Table1[[#This Row],[Total_Amount]]&gt;=300,"Medium","Low"))</f>
        <v>Low</v>
      </c>
      <c r="T229" s="13">
        <f>Table1[[#This Row],[Total_Amount]]*(1-$AC$8)*0.3</f>
        <v>39.263942659198214</v>
      </c>
      <c r="U229" s="13">
        <f t="shared" si="6"/>
        <v>8309.739999999998</v>
      </c>
      <c r="V229" s="13" t="str">
        <f>IF(Table1[[#This Row],[Customer_Total_Spend]]&gt;5000,"Yes","No")</f>
        <v>Yes</v>
      </c>
      <c r="W229" s="13">
        <f t="shared" si="7"/>
        <v>34</v>
      </c>
    </row>
    <row r="230" spans="1:23" ht="15" thickBot="1" x14ac:dyDescent="0.35">
      <c r="A230" s="3" t="s">
        <v>375</v>
      </c>
      <c r="B230" s="8">
        <v>45723</v>
      </c>
      <c r="C230" s="4" t="s">
        <v>120</v>
      </c>
      <c r="D230" s="4" t="s">
        <v>121</v>
      </c>
      <c r="E230" s="4" t="s">
        <v>17</v>
      </c>
      <c r="F230" s="4" t="s">
        <v>18</v>
      </c>
      <c r="G230" s="4" t="s">
        <v>19</v>
      </c>
      <c r="H230" s="38">
        <v>5</v>
      </c>
      <c r="I230" s="4">
        <v>249.99</v>
      </c>
      <c r="J230" s="4" t="s">
        <v>20</v>
      </c>
      <c r="K230" s="4" t="s">
        <v>63</v>
      </c>
      <c r="L230" s="4" t="s">
        <v>36</v>
      </c>
      <c r="M230" s="8">
        <v>44540</v>
      </c>
      <c r="N230" s="34">
        <v>1249.95</v>
      </c>
      <c r="O230" s="4">
        <f ca="1">DATEDIF(Table1[[#This Row],[Customer_Since]],TODAY(),"Y")</f>
        <v>4</v>
      </c>
      <c r="P230" s="12">
        <f ca="1">DATEDIF(Table1[[#This Row],[Date]],TODAY(),"M")</f>
        <v>11</v>
      </c>
      <c r="Q230" s="12" t="str">
        <f ca="1">IF(Table1[[#This Row],[Months_Since_Purchase]]&gt;12,"Inactive","Active")</f>
        <v>Active</v>
      </c>
      <c r="R230" s="14">
        <f>EOMONTH(Table1[[#This Row],[Date]],0)</f>
        <v>45747</v>
      </c>
      <c r="S230" s="13" t="str">
        <f>IF(Table1[[#This Row],[Total_Amount]]&gt;=700,"High",
 IF(Table1[[#This Row],[Total_Amount]]&gt;=300,"Medium","Low"))</f>
        <v>High</v>
      </c>
      <c r="T230" s="13">
        <f>Table1[[#This Row],[Total_Amount]]*(1-$AC$8)*0.3</f>
        <v>272.685660222607</v>
      </c>
      <c r="U230" s="13">
        <f t="shared" si="6"/>
        <v>6459.79</v>
      </c>
      <c r="V230" s="13" t="str">
        <f>IF(Table1[[#This Row],[Customer_Total_Spend]]&gt;5000,"Yes","No")</f>
        <v>Yes</v>
      </c>
      <c r="W230" s="13">
        <f t="shared" si="7"/>
        <v>26</v>
      </c>
    </row>
    <row r="231" spans="1:23" ht="15" thickBot="1" x14ac:dyDescent="0.35">
      <c r="A231" s="3" t="s">
        <v>376</v>
      </c>
      <c r="B231" s="8">
        <v>45724</v>
      </c>
      <c r="C231" s="4" t="s">
        <v>226</v>
      </c>
      <c r="D231" s="4" t="s">
        <v>227</v>
      </c>
      <c r="E231" s="4" t="s">
        <v>44</v>
      </c>
      <c r="F231" s="4" t="s">
        <v>45</v>
      </c>
      <c r="G231" s="4" t="s">
        <v>46</v>
      </c>
      <c r="H231" s="38">
        <v>2</v>
      </c>
      <c r="I231" s="4">
        <v>149.99</v>
      </c>
      <c r="J231" s="4" t="s">
        <v>34</v>
      </c>
      <c r="K231" s="4" t="s">
        <v>21</v>
      </c>
      <c r="L231" s="4" t="s">
        <v>27</v>
      </c>
      <c r="M231" s="8">
        <v>44632</v>
      </c>
      <c r="N231" s="34">
        <v>299.98</v>
      </c>
      <c r="O231" s="4">
        <f ca="1">DATEDIF(Table1[[#This Row],[Customer_Since]],TODAY(),"Y")</f>
        <v>3</v>
      </c>
      <c r="P231" s="12">
        <f ca="1">DATEDIF(Table1[[#This Row],[Date]],TODAY(),"M")</f>
        <v>11</v>
      </c>
      <c r="Q231" s="12" t="str">
        <f ca="1">IF(Table1[[#This Row],[Months_Since_Purchase]]&gt;12,"Inactive","Active")</f>
        <v>Active</v>
      </c>
      <c r="R231" s="14">
        <f>EOMONTH(Table1[[#This Row],[Date]],0)</f>
        <v>45747</v>
      </c>
      <c r="S231" s="13" t="str">
        <f>IF(Table1[[#This Row],[Total_Amount]]&gt;=700,"High",
 IF(Table1[[#This Row],[Total_Amount]]&gt;=300,"Medium","Low"))</f>
        <v>Low</v>
      </c>
      <c r="T231" s="13">
        <f>Table1[[#This Row],[Total_Amount]]*(1-$AC$8)*0.3</f>
        <v>65.442813195389931</v>
      </c>
      <c r="U231" s="13">
        <f t="shared" si="6"/>
        <v>6989.7699999999986</v>
      </c>
      <c r="V231" s="13" t="str">
        <f>IF(Table1[[#This Row],[Customer_Total_Spend]]&gt;5000,"Yes","No")</f>
        <v>Yes</v>
      </c>
      <c r="W231" s="13">
        <f t="shared" si="7"/>
        <v>35</v>
      </c>
    </row>
    <row r="232" spans="1:23" ht="15" thickBot="1" x14ac:dyDescent="0.35">
      <c r="A232" s="3" t="s">
        <v>377</v>
      </c>
      <c r="B232" s="8">
        <v>45724</v>
      </c>
      <c r="C232" s="4" t="s">
        <v>144</v>
      </c>
      <c r="D232" s="4" t="s">
        <v>145</v>
      </c>
      <c r="E232" s="4" t="s">
        <v>61</v>
      </c>
      <c r="F232" s="4" t="s">
        <v>62</v>
      </c>
      <c r="G232" s="4" t="s">
        <v>19</v>
      </c>
      <c r="H232" s="38">
        <v>5</v>
      </c>
      <c r="I232" s="4">
        <v>899.99</v>
      </c>
      <c r="J232" s="4" t="s">
        <v>34</v>
      </c>
      <c r="K232" s="4" t="s">
        <v>63</v>
      </c>
      <c r="L232" s="4" t="s">
        <v>27</v>
      </c>
      <c r="M232" s="8">
        <v>45389</v>
      </c>
      <c r="N232" s="34">
        <v>4499.95</v>
      </c>
      <c r="O232" s="4">
        <f ca="1">DATEDIF(Table1[[#This Row],[Customer_Since]],TODAY(),"Y")</f>
        <v>1</v>
      </c>
      <c r="P232" s="12">
        <f ca="1">DATEDIF(Table1[[#This Row],[Date]],TODAY(),"M")</f>
        <v>11</v>
      </c>
      <c r="Q232" s="12" t="str">
        <f ca="1">IF(Table1[[#This Row],[Months_Since_Purchase]]&gt;12,"Inactive","Active")</f>
        <v>Active</v>
      </c>
      <c r="R232" s="14">
        <f>EOMONTH(Table1[[#This Row],[Date]],0)</f>
        <v>45747</v>
      </c>
      <c r="S232" s="13" t="str">
        <f>IF(Table1[[#This Row],[Total_Amount]]&gt;=700,"High",
 IF(Table1[[#This Row],[Total_Amount]]&gt;=300,"Medium","Low"))</f>
        <v>High</v>
      </c>
      <c r="T232" s="13">
        <f>Table1[[#This Row],[Total_Amount]]*(1-$AC$8)*0.3</f>
        <v>981.69673724446602</v>
      </c>
      <c r="U232" s="13">
        <f t="shared" si="6"/>
        <v>5519.8899999999994</v>
      </c>
      <c r="V232" s="13" t="str">
        <f>IF(Table1[[#This Row],[Customer_Total_Spend]]&gt;5000,"Yes","No")</f>
        <v>Yes</v>
      </c>
      <c r="W232" s="13">
        <f t="shared" si="7"/>
        <v>24</v>
      </c>
    </row>
    <row r="233" spans="1:23" ht="15" thickBot="1" x14ac:dyDescent="0.35">
      <c r="A233" s="3" t="s">
        <v>378</v>
      </c>
      <c r="B233" s="8">
        <v>45724</v>
      </c>
      <c r="C233" s="4" t="s">
        <v>55</v>
      </c>
      <c r="D233" s="4" t="s">
        <v>56</v>
      </c>
      <c r="E233" s="4" t="s">
        <v>44</v>
      </c>
      <c r="F233" s="4" t="s">
        <v>45</v>
      </c>
      <c r="G233" s="4" t="s">
        <v>46</v>
      </c>
      <c r="H233" s="38">
        <v>4</v>
      </c>
      <c r="I233" s="4">
        <v>149.99</v>
      </c>
      <c r="J233" s="4" t="s">
        <v>20</v>
      </c>
      <c r="K233" s="4" t="s">
        <v>21</v>
      </c>
      <c r="L233" s="4" t="s">
        <v>36</v>
      </c>
      <c r="M233" s="8">
        <v>45263</v>
      </c>
      <c r="N233" s="34">
        <v>599.96</v>
      </c>
      <c r="O233" s="4">
        <f ca="1">DATEDIF(Table1[[#This Row],[Customer_Since]],TODAY(),"Y")</f>
        <v>2</v>
      </c>
      <c r="P233" s="12">
        <f ca="1">DATEDIF(Table1[[#This Row],[Date]],TODAY(),"M")</f>
        <v>11</v>
      </c>
      <c r="Q233" s="12" t="str">
        <f ca="1">IF(Table1[[#This Row],[Months_Since_Purchase]]&gt;12,"Inactive","Active")</f>
        <v>Active</v>
      </c>
      <c r="R233" s="14">
        <f>EOMONTH(Table1[[#This Row],[Date]],0)</f>
        <v>45747</v>
      </c>
      <c r="S233" s="13" t="str">
        <f>IF(Table1[[#This Row],[Total_Amount]]&gt;=700,"High",
 IF(Table1[[#This Row],[Total_Amount]]&gt;=300,"Medium","Low"))</f>
        <v>Medium</v>
      </c>
      <c r="T233" s="13">
        <f>Table1[[#This Row],[Total_Amount]]*(1-$AC$8)*0.3</f>
        <v>130.88562639077986</v>
      </c>
      <c r="U233" s="13">
        <f t="shared" si="6"/>
        <v>5089.7300000000005</v>
      </c>
      <c r="V233" s="13" t="str">
        <f>IF(Table1[[#This Row],[Customer_Total_Spend]]&gt;5000,"Yes","No")</f>
        <v>Yes</v>
      </c>
      <c r="W233" s="13">
        <f t="shared" si="7"/>
        <v>35</v>
      </c>
    </row>
    <row r="234" spans="1:23" ht="15" thickBot="1" x14ac:dyDescent="0.35">
      <c r="A234" s="3" t="s">
        <v>379</v>
      </c>
      <c r="B234" s="8">
        <v>45726</v>
      </c>
      <c r="C234" s="4" t="s">
        <v>144</v>
      </c>
      <c r="D234" s="4" t="s">
        <v>145</v>
      </c>
      <c r="E234" s="4" t="s">
        <v>17</v>
      </c>
      <c r="F234" s="4" t="s">
        <v>18</v>
      </c>
      <c r="G234" s="4" t="s">
        <v>19</v>
      </c>
      <c r="H234" s="38">
        <v>1</v>
      </c>
      <c r="I234" s="4">
        <v>249.99</v>
      </c>
      <c r="J234" s="4" t="s">
        <v>20</v>
      </c>
      <c r="K234" s="4" t="s">
        <v>40</v>
      </c>
      <c r="L234" s="4" t="s">
        <v>36</v>
      </c>
      <c r="M234" s="8">
        <v>45117</v>
      </c>
      <c r="N234" s="34">
        <v>249.99</v>
      </c>
      <c r="O234" s="4">
        <f ca="1">DATEDIF(Table1[[#This Row],[Customer_Since]],TODAY(),"Y")</f>
        <v>2</v>
      </c>
      <c r="P234" s="12">
        <f ca="1">DATEDIF(Table1[[#This Row],[Date]],TODAY(),"M")</f>
        <v>11</v>
      </c>
      <c r="Q234" s="12" t="str">
        <f ca="1">IF(Table1[[#This Row],[Months_Since_Purchase]]&gt;12,"Inactive","Active")</f>
        <v>Active</v>
      </c>
      <c r="R234" s="14">
        <f>EOMONTH(Table1[[#This Row],[Date]],0)</f>
        <v>45747</v>
      </c>
      <c r="S234" s="13" t="str">
        <f>IF(Table1[[#This Row],[Total_Amount]]&gt;=700,"High",
 IF(Table1[[#This Row],[Total_Amount]]&gt;=300,"Medium","Low"))</f>
        <v>Low</v>
      </c>
      <c r="T234" s="13">
        <f>Table1[[#This Row],[Total_Amount]]*(1-$AC$8)*0.3</f>
        <v>54.537132044521407</v>
      </c>
      <c r="U234" s="13">
        <f t="shared" si="6"/>
        <v>5519.8899999999994</v>
      </c>
      <c r="V234" s="13" t="str">
        <f>IF(Table1[[#This Row],[Customer_Total_Spend]]&gt;5000,"Yes","No")</f>
        <v>Yes</v>
      </c>
      <c r="W234" s="13">
        <f t="shared" si="7"/>
        <v>26</v>
      </c>
    </row>
    <row r="235" spans="1:23" ht="15" thickBot="1" x14ac:dyDescent="0.35">
      <c r="A235" s="3" t="s">
        <v>380</v>
      </c>
      <c r="B235" s="8">
        <v>45734</v>
      </c>
      <c r="C235" s="4" t="s">
        <v>192</v>
      </c>
      <c r="D235" s="4" t="s">
        <v>193</v>
      </c>
      <c r="E235" s="4" t="s">
        <v>31</v>
      </c>
      <c r="F235" s="4" t="s">
        <v>32</v>
      </c>
      <c r="G235" s="4" t="s">
        <v>33</v>
      </c>
      <c r="H235" s="38">
        <v>2</v>
      </c>
      <c r="I235" s="4">
        <v>59.99</v>
      </c>
      <c r="J235" s="4" t="s">
        <v>26</v>
      </c>
      <c r="K235" s="4" t="s">
        <v>50</v>
      </c>
      <c r="L235" s="4" t="s">
        <v>22</v>
      </c>
      <c r="M235" s="8">
        <v>45193</v>
      </c>
      <c r="N235" s="34">
        <v>119.98</v>
      </c>
      <c r="O235" s="4">
        <f ca="1">DATEDIF(Table1[[#This Row],[Customer_Since]],TODAY(),"Y")</f>
        <v>2</v>
      </c>
      <c r="P235" s="12">
        <f ca="1">DATEDIF(Table1[[#This Row],[Date]],TODAY(),"M")</f>
        <v>11</v>
      </c>
      <c r="Q235" s="12" t="str">
        <f ca="1">IF(Table1[[#This Row],[Months_Since_Purchase]]&gt;12,"Inactive","Active")</f>
        <v>Active</v>
      </c>
      <c r="R235" s="14">
        <f>EOMONTH(Table1[[#This Row],[Date]],0)</f>
        <v>45747</v>
      </c>
      <c r="S235" s="13" t="str">
        <f>IF(Table1[[#This Row],[Total_Amount]]&gt;=700,"High",
 IF(Table1[[#This Row],[Total_Amount]]&gt;=300,"Medium","Low"))</f>
        <v>Low</v>
      </c>
      <c r="T235" s="13">
        <f>Table1[[#This Row],[Total_Amount]]*(1-$AC$8)*0.3</f>
        <v>26.174507391102356</v>
      </c>
      <c r="U235" s="13">
        <f t="shared" si="6"/>
        <v>1479.91</v>
      </c>
      <c r="V235" s="13" t="str">
        <f>IF(Table1[[#This Row],[Customer_Total_Spend]]&gt;5000,"Yes","No")</f>
        <v>No</v>
      </c>
      <c r="W235" s="13">
        <f t="shared" si="7"/>
        <v>29</v>
      </c>
    </row>
    <row r="236" spans="1:23" ht="15" thickBot="1" x14ac:dyDescent="0.35">
      <c r="A236" s="3" t="s">
        <v>381</v>
      </c>
      <c r="B236" s="8">
        <v>45737</v>
      </c>
      <c r="C236" s="4" t="s">
        <v>132</v>
      </c>
      <c r="D236" s="4" t="s">
        <v>133</v>
      </c>
      <c r="E236" s="4" t="s">
        <v>44</v>
      </c>
      <c r="F236" s="4" t="s">
        <v>45</v>
      </c>
      <c r="G236" s="4" t="s">
        <v>46</v>
      </c>
      <c r="H236" s="38">
        <v>2</v>
      </c>
      <c r="I236" s="4">
        <v>149.99</v>
      </c>
      <c r="J236" s="4" t="s">
        <v>20</v>
      </c>
      <c r="K236" s="4" t="s">
        <v>50</v>
      </c>
      <c r="L236" s="4" t="s">
        <v>27</v>
      </c>
      <c r="M236" s="8">
        <v>45233</v>
      </c>
      <c r="N236" s="34">
        <v>299.98</v>
      </c>
      <c r="O236" s="4">
        <f ca="1">DATEDIF(Table1[[#This Row],[Customer_Since]],TODAY(),"Y")</f>
        <v>2</v>
      </c>
      <c r="P236" s="12">
        <f ca="1">DATEDIF(Table1[[#This Row],[Date]],TODAY(),"M")</f>
        <v>11</v>
      </c>
      <c r="Q236" s="12" t="str">
        <f ca="1">IF(Table1[[#This Row],[Months_Since_Purchase]]&gt;12,"Inactive","Active")</f>
        <v>Active</v>
      </c>
      <c r="R236" s="14">
        <f>EOMONTH(Table1[[#This Row],[Date]],0)</f>
        <v>45747</v>
      </c>
      <c r="S236" s="13" t="str">
        <f>IF(Table1[[#This Row],[Total_Amount]]&gt;=700,"High",
 IF(Table1[[#This Row],[Total_Amount]]&gt;=300,"Medium","Low"))</f>
        <v>Low</v>
      </c>
      <c r="T236" s="13">
        <f>Table1[[#This Row],[Total_Amount]]*(1-$AC$8)*0.3</f>
        <v>65.442813195389931</v>
      </c>
      <c r="U236" s="13">
        <f t="shared" si="6"/>
        <v>1229.8800000000001</v>
      </c>
      <c r="V236" s="13" t="str">
        <f>IF(Table1[[#This Row],[Customer_Total_Spend]]&gt;5000,"Yes","No")</f>
        <v>No</v>
      </c>
      <c r="W236" s="13">
        <f t="shared" si="7"/>
        <v>35</v>
      </c>
    </row>
    <row r="237" spans="1:23" ht="15" thickBot="1" x14ac:dyDescent="0.35">
      <c r="A237" s="3" t="s">
        <v>382</v>
      </c>
      <c r="B237" s="8">
        <v>45737</v>
      </c>
      <c r="C237" s="4" t="s">
        <v>150</v>
      </c>
      <c r="D237" s="4" t="s">
        <v>151</v>
      </c>
      <c r="E237" s="4" t="s">
        <v>61</v>
      </c>
      <c r="F237" s="4" t="s">
        <v>62</v>
      </c>
      <c r="G237" s="4" t="s">
        <v>19</v>
      </c>
      <c r="H237" s="38">
        <v>3</v>
      </c>
      <c r="I237" s="4">
        <v>899.99</v>
      </c>
      <c r="J237" s="4" t="s">
        <v>57</v>
      </c>
      <c r="K237" s="4" t="s">
        <v>40</v>
      </c>
      <c r="L237" s="4" t="s">
        <v>27</v>
      </c>
      <c r="M237" s="8">
        <v>44876</v>
      </c>
      <c r="N237" s="34">
        <v>2699.97</v>
      </c>
      <c r="O237" s="4">
        <f ca="1">DATEDIF(Table1[[#This Row],[Customer_Since]],TODAY(),"Y")</f>
        <v>3</v>
      </c>
      <c r="P237" s="12">
        <f ca="1">DATEDIF(Table1[[#This Row],[Date]],TODAY(),"M")</f>
        <v>11</v>
      </c>
      <c r="Q237" s="12" t="str">
        <f ca="1">IF(Table1[[#This Row],[Months_Since_Purchase]]&gt;12,"Inactive","Active")</f>
        <v>Active</v>
      </c>
      <c r="R237" s="14">
        <f>EOMONTH(Table1[[#This Row],[Date]],0)</f>
        <v>45747</v>
      </c>
      <c r="S237" s="13" t="str">
        <f>IF(Table1[[#This Row],[Total_Amount]]&gt;=700,"High",
 IF(Table1[[#This Row],[Total_Amount]]&gt;=300,"Medium","Low"))</f>
        <v>High</v>
      </c>
      <c r="T237" s="13">
        <f>Table1[[#This Row],[Total_Amount]]*(1-$AC$8)*0.3</f>
        <v>589.01804234667964</v>
      </c>
      <c r="U237" s="13">
        <f t="shared" si="6"/>
        <v>5619.869999999999</v>
      </c>
      <c r="V237" s="13" t="str">
        <f>IF(Table1[[#This Row],[Customer_Total_Spend]]&gt;5000,"Yes","No")</f>
        <v>Yes</v>
      </c>
      <c r="W237" s="13">
        <f t="shared" si="7"/>
        <v>24</v>
      </c>
    </row>
    <row r="238" spans="1:23" ht="15" thickBot="1" x14ac:dyDescent="0.35">
      <c r="A238" s="3" t="s">
        <v>383</v>
      </c>
      <c r="B238" s="8">
        <v>45737</v>
      </c>
      <c r="C238" s="4" t="s">
        <v>48</v>
      </c>
      <c r="D238" s="4" t="s">
        <v>49</v>
      </c>
      <c r="E238" s="4" t="s">
        <v>61</v>
      </c>
      <c r="F238" s="4" t="s">
        <v>62</v>
      </c>
      <c r="G238" s="4" t="s">
        <v>19</v>
      </c>
      <c r="H238" s="38">
        <v>3</v>
      </c>
      <c r="I238" s="4">
        <v>899.99</v>
      </c>
      <c r="J238" s="4" t="s">
        <v>34</v>
      </c>
      <c r="K238" s="4" t="s">
        <v>40</v>
      </c>
      <c r="L238" s="4" t="s">
        <v>22</v>
      </c>
      <c r="M238" s="8">
        <v>44975</v>
      </c>
      <c r="N238" s="34">
        <v>2699.97</v>
      </c>
      <c r="O238" s="4">
        <f ca="1">DATEDIF(Table1[[#This Row],[Customer_Since]],TODAY(),"Y")</f>
        <v>3</v>
      </c>
      <c r="P238" s="12">
        <f ca="1">DATEDIF(Table1[[#This Row],[Date]],TODAY(),"M")</f>
        <v>11</v>
      </c>
      <c r="Q238" s="12" t="str">
        <f ca="1">IF(Table1[[#This Row],[Months_Since_Purchase]]&gt;12,"Inactive","Active")</f>
        <v>Active</v>
      </c>
      <c r="R238" s="14">
        <f>EOMONTH(Table1[[#This Row],[Date]],0)</f>
        <v>45747</v>
      </c>
      <c r="S238" s="13" t="str">
        <f>IF(Table1[[#This Row],[Total_Amount]]&gt;=700,"High",
 IF(Table1[[#This Row],[Total_Amount]]&gt;=300,"Medium","Low"))</f>
        <v>High</v>
      </c>
      <c r="T238" s="13">
        <f>Table1[[#This Row],[Total_Amount]]*(1-$AC$8)*0.3</f>
        <v>589.01804234667964</v>
      </c>
      <c r="U238" s="13">
        <f t="shared" si="6"/>
        <v>8269.7900000000009</v>
      </c>
      <c r="V238" s="13" t="str">
        <f>IF(Table1[[#This Row],[Customer_Total_Spend]]&gt;5000,"Yes","No")</f>
        <v>Yes</v>
      </c>
      <c r="W238" s="13">
        <f t="shared" si="7"/>
        <v>24</v>
      </c>
    </row>
    <row r="239" spans="1:23" ht="15" thickBot="1" x14ac:dyDescent="0.35">
      <c r="A239" s="3" t="s">
        <v>384</v>
      </c>
      <c r="B239" s="8">
        <v>45739</v>
      </c>
      <c r="C239" s="4" t="s">
        <v>15</v>
      </c>
      <c r="D239" s="4" t="s">
        <v>16</v>
      </c>
      <c r="E239" s="4" t="s">
        <v>105</v>
      </c>
      <c r="F239" s="4" t="s">
        <v>106</v>
      </c>
      <c r="G239" s="4" t="s">
        <v>46</v>
      </c>
      <c r="H239" s="38">
        <v>3</v>
      </c>
      <c r="I239" s="4">
        <v>299.99</v>
      </c>
      <c r="J239" s="4" t="s">
        <v>26</v>
      </c>
      <c r="K239" s="4" t="s">
        <v>50</v>
      </c>
      <c r="L239" s="4" t="s">
        <v>27</v>
      </c>
      <c r="M239" s="8">
        <v>45234</v>
      </c>
      <c r="N239" s="34">
        <v>899.97</v>
      </c>
      <c r="O239" s="4">
        <f ca="1">DATEDIF(Table1[[#This Row],[Customer_Since]],TODAY(),"Y")</f>
        <v>2</v>
      </c>
      <c r="P239" s="12">
        <f ca="1">DATEDIF(Table1[[#This Row],[Date]],TODAY(),"M")</f>
        <v>11</v>
      </c>
      <c r="Q239" s="12" t="str">
        <f ca="1">IF(Table1[[#This Row],[Months_Since_Purchase]]&gt;12,"Inactive","Active")</f>
        <v>Active</v>
      </c>
      <c r="R239" s="14">
        <f>EOMONTH(Table1[[#This Row],[Date]],0)</f>
        <v>45747</v>
      </c>
      <c r="S239" s="13" t="str">
        <f>IF(Table1[[#This Row],[Total_Amount]]&gt;=700,"High",
 IF(Table1[[#This Row],[Total_Amount]]&gt;=300,"Medium","Low"))</f>
        <v>High</v>
      </c>
      <c r="T239" s="13">
        <f>Table1[[#This Row],[Total_Amount]]*(1-$AC$8)*0.3</f>
        <v>196.33498430380385</v>
      </c>
      <c r="U239" s="13">
        <f t="shared" si="6"/>
        <v>8309.739999999998</v>
      </c>
      <c r="V239" s="13" t="str">
        <f>IF(Table1[[#This Row],[Customer_Total_Spend]]&gt;5000,"Yes","No")</f>
        <v>Yes</v>
      </c>
      <c r="W239" s="13">
        <f t="shared" si="7"/>
        <v>26</v>
      </c>
    </row>
    <row r="240" spans="1:23" ht="15" thickBot="1" x14ac:dyDescent="0.35">
      <c r="A240" s="3" t="s">
        <v>385</v>
      </c>
      <c r="B240" s="8">
        <v>45740</v>
      </c>
      <c r="C240" s="4" t="s">
        <v>386</v>
      </c>
      <c r="D240" s="4" t="s">
        <v>387</v>
      </c>
      <c r="E240" s="4" t="s">
        <v>44</v>
      </c>
      <c r="F240" s="4" t="s">
        <v>45</v>
      </c>
      <c r="G240" s="4" t="s">
        <v>46</v>
      </c>
      <c r="H240" s="38">
        <v>4</v>
      </c>
      <c r="I240" s="4">
        <v>149.99</v>
      </c>
      <c r="J240" s="4" t="s">
        <v>34</v>
      </c>
      <c r="K240" s="4" t="s">
        <v>50</v>
      </c>
      <c r="L240" s="4" t="s">
        <v>36</v>
      </c>
      <c r="M240" s="8">
        <v>44560</v>
      </c>
      <c r="N240" s="34">
        <v>599.96</v>
      </c>
      <c r="O240" s="4">
        <f ca="1">DATEDIF(Table1[[#This Row],[Customer_Since]],TODAY(),"Y")</f>
        <v>4</v>
      </c>
      <c r="P240" s="12">
        <f ca="1">DATEDIF(Table1[[#This Row],[Date]],TODAY(),"M")</f>
        <v>11</v>
      </c>
      <c r="Q240" s="12" t="str">
        <f ca="1">IF(Table1[[#This Row],[Months_Since_Purchase]]&gt;12,"Inactive","Active")</f>
        <v>Active</v>
      </c>
      <c r="R240" s="14">
        <f>EOMONTH(Table1[[#This Row],[Date]],0)</f>
        <v>45747</v>
      </c>
      <c r="S240" s="13" t="str">
        <f>IF(Table1[[#This Row],[Total_Amount]]&gt;=700,"High",
 IF(Table1[[#This Row],[Total_Amount]]&gt;=300,"Medium","Low"))</f>
        <v>Medium</v>
      </c>
      <c r="T240" s="13">
        <f>Table1[[#This Row],[Total_Amount]]*(1-$AC$8)*0.3</f>
        <v>130.88562639077986</v>
      </c>
      <c r="U240" s="13">
        <f t="shared" si="6"/>
        <v>599.96</v>
      </c>
      <c r="V240" s="13" t="str">
        <f>IF(Table1[[#This Row],[Customer_Total_Spend]]&gt;5000,"Yes","No")</f>
        <v>No</v>
      </c>
      <c r="W240" s="13">
        <f t="shared" si="7"/>
        <v>35</v>
      </c>
    </row>
    <row r="241" spans="1:23" ht="15" thickBot="1" x14ac:dyDescent="0.35">
      <c r="A241" s="3" t="s">
        <v>388</v>
      </c>
      <c r="B241" s="8">
        <v>45743</v>
      </c>
      <c r="C241" s="4" t="s">
        <v>102</v>
      </c>
      <c r="D241" s="4" t="s">
        <v>103</v>
      </c>
      <c r="E241" s="4" t="s">
        <v>114</v>
      </c>
      <c r="F241" s="4" t="s">
        <v>115</v>
      </c>
      <c r="G241" s="4" t="s">
        <v>33</v>
      </c>
      <c r="H241" s="38">
        <v>4</v>
      </c>
      <c r="I241" s="4">
        <v>79.989999999999995</v>
      </c>
      <c r="J241" s="4" t="s">
        <v>26</v>
      </c>
      <c r="K241" s="4" t="s">
        <v>21</v>
      </c>
      <c r="L241" s="4" t="s">
        <v>22</v>
      </c>
      <c r="M241" s="8">
        <v>45288</v>
      </c>
      <c r="N241" s="34">
        <v>319.95999999999998</v>
      </c>
      <c r="O241" s="4">
        <f ca="1">DATEDIF(Table1[[#This Row],[Customer_Since]],TODAY(),"Y")</f>
        <v>2</v>
      </c>
      <c r="P241" s="12">
        <f ca="1">DATEDIF(Table1[[#This Row],[Date]],TODAY(),"M")</f>
        <v>11</v>
      </c>
      <c r="Q241" s="12" t="str">
        <f ca="1">IF(Table1[[#This Row],[Months_Since_Purchase]]&gt;12,"Inactive","Active")</f>
        <v>Active</v>
      </c>
      <c r="R241" s="14">
        <f>EOMONTH(Table1[[#This Row],[Date]],0)</f>
        <v>45747</v>
      </c>
      <c r="S241" s="13" t="str">
        <f>IF(Table1[[#This Row],[Total_Amount]]&gt;=700,"High",
 IF(Table1[[#This Row],[Total_Amount]]&gt;=300,"Medium","Low"))</f>
        <v>Medium</v>
      </c>
      <c r="T241" s="13">
        <f>Table1[[#This Row],[Total_Amount]]*(1-$AC$8)*0.3</f>
        <v>69.801595139665849</v>
      </c>
      <c r="U241" s="13">
        <f t="shared" si="6"/>
        <v>3769.8300000000004</v>
      </c>
      <c r="V241" s="13" t="str">
        <f>IF(Table1[[#This Row],[Customer_Total_Spend]]&gt;5000,"Yes","No")</f>
        <v>No</v>
      </c>
      <c r="W241" s="13">
        <f t="shared" si="7"/>
        <v>14</v>
      </c>
    </row>
    <row r="242" spans="1:23" ht="15" thickBot="1" x14ac:dyDescent="0.35">
      <c r="A242" s="3" t="s">
        <v>389</v>
      </c>
      <c r="B242" s="8">
        <v>45745</v>
      </c>
      <c r="C242" s="4" t="s">
        <v>185</v>
      </c>
      <c r="D242" s="4" t="s">
        <v>186</v>
      </c>
      <c r="E242" s="4" t="s">
        <v>117</v>
      </c>
      <c r="F242" s="4" t="s">
        <v>118</v>
      </c>
      <c r="G242" s="4" t="s">
        <v>19</v>
      </c>
      <c r="H242" s="38">
        <v>5</v>
      </c>
      <c r="I242" s="4">
        <v>89.99</v>
      </c>
      <c r="J242" s="4" t="s">
        <v>34</v>
      </c>
      <c r="K242" s="4" t="s">
        <v>35</v>
      </c>
      <c r="L242" s="4" t="s">
        <v>22</v>
      </c>
      <c r="M242" s="8">
        <v>44704</v>
      </c>
      <c r="N242" s="34">
        <v>449.95</v>
      </c>
      <c r="O242" s="4">
        <f ca="1">DATEDIF(Table1[[#This Row],[Customer_Since]],TODAY(),"Y")</f>
        <v>3</v>
      </c>
      <c r="P242" s="12">
        <f ca="1">DATEDIF(Table1[[#This Row],[Date]],TODAY(),"M")</f>
        <v>11</v>
      </c>
      <c r="Q242" s="12" t="str">
        <f ca="1">IF(Table1[[#This Row],[Months_Since_Purchase]]&gt;12,"Inactive","Active")</f>
        <v>Active</v>
      </c>
      <c r="R242" s="14">
        <f>EOMONTH(Table1[[#This Row],[Date]],0)</f>
        <v>45747</v>
      </c>
      <c r="S242" s="13" t="str">
        <f>IF(Table1[[#This Row],[Total_Amount]]&gt;=700,"High",
 IF(Table1[[#This Row],[Total_Amount]]&gt;=300,"Medium","Low"))</f>
        <v>Medium</v>
      </c>
      <c r="T242" s="13">
        <f>Table1[[#This Row],[Total_Amount]]*(1-$AC$8)*0.3</f>
        <v>98.159856647995539</v>
      </c>
      <c r="U242" s="13">
        <f t="shared" si="6"/>
        <v>2099.88</v>
      </c>
      <c r="V242" s="13" t="str">
        <f>IF(Table1[[#This Row],[Customer_Total_Spend]]&gt;5000,"Yes","No")</f>
        <v>No</v>
      </c>
      <c r="W242" s="13">
        <f t="shared" si="7"/>
        <v>34</v>
      </c>
    </row>
    <row r="243" spans="1:23" ht="15" thickBot="1" x14ac:dyDescent="0.35">
      <c r="A243" s="3" t="s">
        <v>390</v>
      </c>
      <c r="B243" s="8">
        <v>45746</v>
      </c>
      <c r="C243" s="4" t="s">
        <v>93</v>
      </c>
      <c r="D243" s="4" t="s">
        <v>94</v>
      </c>
      <c r="E243" s="4" t="s">
        <v>44</v>
      </c>
      <c r="F243" s="4" t="s">
        <v>45</v>
      </c>
      <c r="G243" s="4" t="s">
        <v>46</v>
      </c>
      <c r="H243" s="38">
        <v>3</v>
      </c>
      <c r="I243" s="4">
        <v>149.99</v>
      </c>
      <c r="J243" s="4" t="s">
        <v>34</v>
      </c>
      <c r="K243" s="4" t="s">
        <v>21</v>
      </c>
      <c r="L243" s="4" t="s">
        <v>36</v>
      </c>
      <c r="M243" s="8">
        <v>45171</v>
      </c>
      <c r="N243" s="34">
        <v>449.97</v>
      </c>
      <c r="O243" s="4">
        <f ca="1">DATEDIF(Table1[[#This Row],[Customer_Since]],TODAY(),"Y")</f>
        <v>2</v>
      </c>
      <c r="P243" s="12">
        <f ca="1">DATEDIF(Table1[[#This Row],[Date]],TODAY(),"M")</f>
        <v>11</v>
      </c>
      <c r="Q243" s="12" t="str">
        <f ca="1">IF(Table1[[#This Row],[Months_Since_Purchase]]&gt;12,"Inactive","Active")</f>
        <v>Active</v>
      </c>
      <c r="R243" s="14">
        <f>EOMONTH(Table1[[#This Row],[Date]],0)</f>
        <v>45747</v>
      </c>
      <c r="S243" s="13" t="str">
        <f>IF(Table1[[#This Row],[Total_Amount]]&gt;=700,"High",
 IF(Table1[[#This Row],[Total_Amount]]&gt;=300,"Medium","Low"))</f>
        <v>Medium</v>
      </c>
      <c r="T243" s="13">
        <f>Table1[[#This Row],[Total_Amount]]*(1-$AC$8)*0.3</f>
        <v>98.164219793084911</v>
      </c>
      <c r="U243" s="13">
        <f t="shared" si="6"/>
        <v>4789.7900000000009</v>
      </c>
      <c r="V243" s="13" t="str">
        <f>IF(Table1[[#This Row],[Customer_Total_Spend]]&gt;5000,"Yes","No")</f>
        <v>No</v>
      </c>
      <c r="W243" s="13">
        <f t="shared" si="7"/>
        <v>35</v>
      </c>
    </row>
    <row r="244" spans="1:23" ht="15" thickBot="1" x14ac:dyDescent="0.35">
      <c r="A244" s="3" t="s">
        <v>391</v>
      </c>
      <c r="B244" s="8">
        <v>45746</v>
      </c>
      <c r="C244" s="4" t="s">
        <v>65</v>
      </c>
      <c r="D244" s="4" t="s">
        <v>66</v>
      </c>
      <c r="E244" s="4" t="s">
        <v>117</v>
      </c>
      <c r="F244" s="4" t="s">
        <v>118</v>
      </c>
      <c r="G244" s="4" t="s">
        <v>19</v>
      </c>
      <c r="H244" s="38">
        <v>2</v>
      </c>
      <c r="I244" s="4">
        <v>89.99</v>
      </c>
      <c r="J244" s="4" t="s">
        <v>57</v>
      </c>
      <c r="K244" s="4" t="s">
        <v>50</v>
      </c>
      <c r="L244" s="4" t="s">
        <v>27</v>
      </c>
      <c r="M244" s="8">
        <v>44522</v>
      </c>
      <c r="N244" s="34">
        <v>179.98</v>
      </c>
      <c r="O244" s="4">
        <f ca="1">DATEDIF(Table1[[#This Row],[Customer_Since]],TODAY(),"Y")</f>
        <v>4</v>
      </c>
      <c r="P244" s="12">
        <f ca="1">DATEDIF(Table1[[#This Row],[Date]],TODAY(),"M")</f>
        <v>11</v>
      </c>
      <c r="Q244" s="12" t="str">
        <f ca="1">IF(Table1[[#This Row],[Months_Since_Purchase]]&gt;12,"Inactive","Active")</f>
        <v>Active</v>
      </c>
      <c r="R244" s="14">
        <f>EOMONTH(Table1[[#This Row],[Date]],0)</f>
        <v>45747</v>
      </c>
      <c r="S244" s="13" t="str">
        <f>IF(Table1[[#This Row],[Total_Amount]]&gt;=700,"High",
 IF(Table1[[#This Row],[Total_Amount]]&gt;=300,"Medium","Low"))</f>
        <v>Low</v>
      </c>
      <c r="T244" s="13">
        <f>Table1[[#This Row],[Total_Amount]]*(1-$AC$8)*0.3</f>
        <v>39.263942659198214</v>
      </c>
      <c r="U244" s="13">
        <f t="shared" si="6"/>
        <v>8009.7699999999995</v>
      </c>
      <c r="V244" s="13" t="str">
        <f>IF(Table1[[#This Row],[Customer_Total_Spend]]&gt;5000,"Yes","No")</f>
        <v>Yes</v>
      </c>
      <c r="W244" s="13">
        <f t="shared" si="7"/>
        <v>34</v>
      </c>
    </row>
    <row r="245" spans="1:23" ht="15" thickBot="1" x14ac:dyDescent="0.35">
      <c r="A245" s="3" t="s">
        <v>392</v>
      </c>
      <c r="B245" s="8">
        <v>45748</v>
      </c>
      <c r="C245" s="4" t="s">
        <v>102</v>
      </c>
      <c r="D245" s="4" t="s">
        <v>103</v>
      </c>
      <c r="E245" s="4" t="s">
        <v>80</v>
      </c>
      <c r="F245" s="4" t="s">
        <v>81</v>
      </c>
      <c r="G245" s="4" t="s">
        <v>19</v>
      </c>
      <c r="H245" s="38">
        <v>2</v>
      </c>
      <c r="I245" s="4">
        <v>699.99</v>
      </c>
      <c r="J245" s="4" t="s">
        <v>34</v>
      </c>
      <c r="K245" s="4" t="s">
        <v>40</v>
      </c>
      <c r="L245" s="4" t="s">
        <v>36</v>
      </c>
      <c r="M245" s="8">
        <v>44618</v>
      </c>
      <c r="N245" s="34">
        <v>1399.98</v>
      </c>
      <c r="O245" s="4">
        <f ca="1">DATEDIF(Table1[[#This Row],[Customer_Since]],TODAY(),"Y")</f>
        <v>4</v>
      </c>
      <c r="P245" s="12">
        <f ca="1">DATEDIF(Table1[[#This Row],[Date]],TODAY(),"M")</f>
        <v>11</v>
      </c>
      <c r="Q245" s="12" t="str">
        <f ca="1">IF(Table1[[#This Row],[Months_Since_Purchase]]&gt;12,"Inactive","Active")</f>
        <v>Active</v>
      </c>
      <c r="R245" s="14">
        <f>EOMONTH(Table1[[#This Row],[Date]],0)</f>
        <v>45777</v>
      </c>
      <c r="S245" s="13" t="str">
        <f>IF(Table1[[#This Row],[Total_Amount]]&gt;=700,"High",
 IF(Table1[[#This Row],[Total_Amount]]&gt;=300,"Medium","Low"))</f>
        <v>High</v>
      </c>
      <c r="T245" s="13">
        <f>Table1[[#This Row],[Total_Amount]]*(1-$AC$8)*0.3</f>
        <v>305.41579311048065</v>
      </c>
      <c r="U245" s="13">
        <f t="shared" si="6"/>
        <v>3769.8300000000004</v>
      </c>
      <c r="V245" s="13" t="str">
        <f>IF(Table1[[#This Row],[Customer_Total_Spend]]&gt;5000,"Yes","No")</f>
        <v>No</v>
      </c>
      <c r="W245" s="13">
        <f t="shared" si="7"/>
        <v>31</v>
      </c>
    </row>
    <row r="246" spans="1:23" ht="15" thickBot="1" x14ac:dyDescent="0.35">
      <c r="A246" s="3" t="s">
        <v>393</v>
      </c>
      <c r="B246" s="8">
        <v>45749</v>
      </c>
      <c r="C246" s="4" t="s">
        <v>123</v>
      </c>
      <c r="D246" s="4" t="s">
        <v>124</v>
      </c>
      <c r="E246" s="4" t="s">
        <v>61</v>
      </c>
      <c r="F246" s="4" t="s">
        <v>62</v>
      </c>
      <c r="G246" s="4" t="s">
        <v>19</v>
      </c>
      <c r="H246" s="38">
        <v>3</v>
      </c>
      <c r="I246" s="4">
        <v>899.99</v>
      </c>
      <c r="J246" s="4" t="s">
        <v>20</v>
      </c>
      <c r="K246" s="4" t="s">
        <v>21</v>
      </c>
      <c r="L246" s="4" t="s">
        <v>36</v>
      </c>
      <c r="M246" s="8">
        <v>44953</v>
      </c>
      <c r="N246" s="34">
        <v>2699.97</v>
      </c>
      <c r="O246" s="4">
        <f ca="1">DATEDIF(Table1[[#This Row],[Customer_Since]],TODAY(),"Y")</f>
        <v>3</v>
      </c>
      <c r="P246" s="12">
        <f ca="1">DATEDIF(Table1[[#This Row],[Date]],TODAY(),"M")</f>
        <v>11</v>
      </c>
      <c r="Q246" s="12" t="str">
        <f ca="1">IF(Table1[[#This Row],[Months_Since_Purchase]]&gt;12,"Inactive","Active")</f>
        <v>Active</v>
      </c>
      <c r="R246" s="14">
        <f>EOMONTH(Table1[[#This Row],[Date]],0)</f>
        <v>45777</v>
      </c>
      <c r="S246" s="13" t="str">
        <f>IF(Table1[[#This Row],[Total_Amount]]&gt;=700,"High",
 IF(Table1[[#This Row],[Total_Amount]]&gt;=300,"Medium","Low"))</f>
        <v>High</v>
      </c>
      <c r="T246" s="13">
        <f>Table1[[#This Row],[Total_Amount]]*(1-$AC$8)*0.3</f>
        <v>589.01804234667964</v>
      </c>
      <c r="U246" s="13">
        <f t="shared" si="6"/>
        <v>11919.769999999999</v>
      </c>
      <c r="V246" s="13" t="str">
        <f>IF(Table1[[#This Row],[Customer_Total_Spend]]&gt;5000,"Yes","No")</f>
        <v>Yes</v>
      </c>
      <c r="W246" s="13">
        <f t="shared" si="7"/>
        <v>24</v>
      </c>
    </row>
    <row r="247" spans="1:23" ht="15" thickBot="1" x14ac:dyDescent="0.35">
      <c r="A247" s="3" t="s">
        <v>394</v>
      </c>
      <c r="B247" s="8">
        <v>45755</v>
      </c>
      <c r="C247" s="4" t="s">
        <v>93</v>
      </c>
      <c r="D247" s="4" t="s">
        <v>94</v>
      </c>
      <c r="E247" s="4" t="s">
        <v>114</v>
      </c>
      <c r="F247" s="4" t="s">
        <v>115</v>
      </c>
      <c r="G247" s="4" t="s">
        <v>33</v>
      </c>
      <c r="H247" s="38">
        <v>3</v>
      </c>
      <c r="I247" s="4">
        <v>79.989999999999995</v>
      </c>
      <c r="J247" s="4" t="s">
        <v>26</v>
      </c>
      <c r="K247" s="4" t="s">
        <v>40</v>
      </c>
      <c r="L247" s="4" t="s">
        <v>22</v>
      </c>
      <c r="M247" s="8">
        <v>44511</v>
      </c>
      <c r="N247" s="34">
        <v>239.97</v>
      </c>
      <c r="O247" s="4">
        <f ca="1">DATEDIF(Table1[[#This Row],[Customer_Since]],TODAY(),"Y")</f>
        <v>4</v>
      </c>
      <c r="P247" s="12">
        <f ca="1">DATEDIF(Table1[[#This Row],[Date]],TODAY(),"M")</f>
        <v>10</v>
      </c>
      <c r="Q247" s="12" t="str">
        <f ca="1">IF(Table1[[#This Row],[Months_Since_Purchase]]&gt;12,"Inactive","Active")</f>
        <v>Active</v>
      </c>
      <c r="R247" s="14">
        <f>EOMONTH(Table1[[#This Row],[Date]],0)</f>
        <v>45777</v>
      </c>
      <c r="S247" s="13" t="str">
        <f>IF(Table1[[#This Row],[Total_Amount]]&gt;=700,"High",
 IF(Table1[[#This Row],[Total_Amount]]&gt;=300,"Medium","Low"))</f>
        <v>Low</v>
      </c>
      <c r="T247" s="13">
        <f>Table1[[#This Row],[Total_Amount]]*(1-$AC$8)*0.3</f>
        <v>52.351196354749391</v>
      </c>
      <c r="U247" s="13">
        <f t="shared" si="6"/>
        <v>4789.7900000000009</v>
      </c>
      <c r="V247" s="13" t="str">
        <f>IF(Table1[[#This Row],[Customer_Total_Spend]]&gt;5000,"Yes","No")</f>
        <v>No</v>
      </c>
      <c r="W247" s="13">
        <f t="shared" si="7"/>
        <v>14</v>
      </c>
    </row>
    <row r="248" spans="1:23" ht="15" thickBot="1" x14ac:dyDescent="0.35">
      <c r="A248" s="3" t="s">
        <v>395</v>
      </c>
      <c r="B248" s="8">
        <v>45756</v>
      </c>
      <c r="C248" s="4" t="s">
        <v>59</v>
      </c>
      <c r="D248" s="4" t="s">
        <v>60</v>
      </c>
      <c r="E248" s="4" t="s">
        <v>117</v>
      </c>
      <c r="F248" s="4" t="s">
        <v>118</v>
      </c>
      <c r="G248" s="4" t="s">
        <v>19</v>
      </c>
      <c r="H248" s="38">
        <v>1</v>
      </c>
      <c r="I248" s="4">
        <v>89.99</v>
      </c>
      <c r="J248" s="4" t="s">
        <v>57</v>
      </c>
      <c r="K248" s="4" t="s">
        <v>63</v>
      </c>
      <c r="L248" s="4" t="s">
        <v>22</v>
      </c>
      <c r="M248" s="8">
        <v>45346</v>
      </c>
      <c r="N248" s="34">
        <v>89.99</v>
      </c>
      <c r="O248" s="4">
        <f ca="1">DATEDIF(Table1[[#This Row],[Customer_Since]],TODAY(),"Y")</f>
        <v>2</v>
      </c>
      <c r="P248" s="12">
        <f ca="1">DATEDIF(Table1[[#This Row],[Date]],TODAY(),"M")</f>
        <v>10</v>
      </c>
      <c r="Q248" s="12" t="str">
        <f ca="1">IF(Table1[[#This Row],[Months_Since_Purchase]]&gt;12,"Inactive","Active")</f>
        <v>Active</v>
      </c>
      <c r="R248" s="14">
        <f>EOMONTH(Table1[[#This Row],[Date]],0)</f>
        <v>45777</v>
      </c>
      <c r="S248" s="13" t="str">
        <f>IF(Table1[[#This Row],[Total_Amount]]&gt;=700,"High",
 IF(Table1[[#This Row],[Total_Amount]]&gt;=300,"Medium","Low"))</f>
        <v>Low</v>
      </c>
      <c r="T248" s="13">
        <f>Table1[[#This Row],[Total_Amount]]*(1-$AC$8)*0.3</f>
        <v>19.631971329599107</v>
      </c>
      <c r="U248" s="13">
        <f t="shared" si="6"/>
        <v>3509.8999999999996</v>
      </c>
      <c r="V248" s="13" t="str">
        <f>IF(Table1[[#This Row],[Customer_Total_Spend]]&gt;5000,"Yes","No")</f>
        <v>No</v>
      </c>
      <c r="W248" s="13">
        <f t="shared" si="7"/>
        <v>34</v>
      </c>
    </row>
    <row r="249" spans="1:23" ht="15" thickBot="1" x14ac:dyDescent="0.35">
      <c r="A249" s="3" t="s">
        <v>396</v>
      </c>
      <c r="B249" s="8">
        <v>45758</v>
      </c>
      <c r="C249" s="4" t="s">
        <v>293</v>
      </c>
      <c r="D249" s="4" t="s">
        <v>294</v>
      </c>
      <c r="E249" s="4" t="s">
        <v>80</v>
      </c>
      <c r="F249" s="4" t="s">
        <v>81</v>
      </c>
      <c r="G249" s="4" t="s">
        <v>19</v>
      </c>
      <c r="H249" s="38">
        <v>3</v>
      </c>
      <c r="I249" s="4">
        <v>699.99</v>
      </c>
      <c r="J249" s="4" t="s">
        <v>34</v>
      </c>
      <c r="K249" s="4" t="s">
        <v>40</v>
      </c>
      <c r="L249" s="4" t="s">
        <v>22</v>
      </c>
      <c r="M249" s="8">
        <v>44909</v>
      </c>
      <c r="N249" s="34">
        <v>2099.9699999999998</v>
      </c>
      <c r="O249" s="4">
        <f ca="1">DATEDIF(Table1[[#This Row],[Customer_Since]],TODAY(),"Y")</f>
        <v>3</v>
      </c>
      <c r="P249" s="12">
        <f ca="1">DATEDIF(Table1[[#This Row],[Date]],TODAY(),"M")</f>
        <v>10</v>
      </c>
      <c r="Q249" s="12" t="str">
        <f ca="1">IF(Table1[[#This Row],[Months_Since_Purchase]]&gt;12,"Inactive","Active")</f>
        <v>Active</v>
      </c>
      <c r="R249" s="14">
        <f>EOMONTH(Table1[[#This Row],[Date]],0)</f>
        <v>45777</v>
      </c>
      <c r="S249" s="13" t="str">
        <f>IF(Table1[[#This Row],[Total_Amount]]&gt;=700,"High",
 IF(Table1[[#This Row],[Total_Amount]]&gt;=300,"Medium","Low"))</f>
        <v>High</v>
      </c>
      <c r="T249" s="13">
        <f>Table1[[#This Row],[Total_Amount]]*(1-$AC$8)*0.3</f>
        <v>458.12368966572097</v>
      </c>
      <c r="U249" s="13">
        <f t="shared" si="6"/>
        <v>4829.8899999999994</v>
      </c>
      <c r="V249" s="13" t="str">
        <f>IF(Table1[[#This Row],[Customer_Total_Spend]]&gt;5000,"Yes","No")</f>
        <v>No</v>
      </c>
      <c r="W249" s="13">
        <f t="shared" si="7"/>
        <v>31</v>
      </c>
    </row>
    <row r="250" spans="1:23" ht="15" thickBot="1" x14ac:dyDescent="0.35">
      <c r="A250" s="3" t="s">
        <v>397</v>
      </c>
      <c r="B250" s="8">
        <v>45758</v>
      </c>
      <c r="C250" s="4" t="s">
        <v>226</v>
      </c>
      <c r="D250" s="4" t="s">
        <v>227</v>
      </c>
      <c r="E250" s="4" t="s">
        <v>117</v>
      </c>
      <c r="F250" s="4" t="s">
        <v>118</v>
      </c>
      <c r="G250" s="4" t="s">
        <v>19</v>
      </c>
      <c r="H250" s="38">
        <v>2</v>
      </c>
      <c r="I250" s="4">
        <v>89.99</v>
      </c>
      <c r="J250" s="4" t="s">
        <v>57</v>
      </c>
      <c r="K250" s="4" t="s">
        <v>63</v>
      </c>
      <c r="L250" s="4" t="s">
        <v>22</v>
      </c>
      <c r="M250" s="8">
        <v>45088</v>
      </c>
      <c r="N250" s="34">
        <v>179.98</v>
      </c>
      <c r="O250" s="4">
        <f ca="1">DATEDIF(Table1[[#This Row],[Customer_Since]],TODAY(),"Y")</f>
        <v>2</v>
      </c>
      <c r="P250" s="12">
        <f ca="1">DATEDIF(Table1[[#This Row],[Date]],TODAY(),"M")</f>
        <v>10</v>
      </c>
      <c r="Q250" s="12" t="str">
        <f ca="1">IF(Table1[[#This Row],[Months_Since_Purchase]]&gt;12,"Inactive","Active")</f>
        <v>Active</v>
      </c>
      <c r="R250" s="14">
        <f>EOMONTH(Table1[[#This Row],[Date]],0)</f>
        <v>45777</v>
      </c>
      <c r="S250" s="13" t="str">
        <f>IF(Table1[[#This Row],[Total_Amount]]&gt;=700,"High",
 IF(Table1[[#This Row],[Total_Amount]]&gt;=300,"Medium","Low"))</f>
        <v>Low</v>
      </c>
      <c r="T250" s="13">
        <f>Table1[[#This Row],[Total_Amount]]*(1-$AC$8)*0.3</f>
        <v>39.263942659198214</v>
      </c>
      <c r="U250" s="13">
        <f t="shared" si="6"/>
        <v>6989.7699999999986</v>
      </c>
      <c r="V250" s="13" t="str">
        <f>IF(Table1[[#This Row],[Customer_Total_Spend]]&gt;5000,"Yes","No")</f>
        <v>Yes</v>
      </c>
      <c r="W250" s="13">
        <f t="shared" si="7"/>
        <v>34</v>
      </c>
    </row>
    <row r="251" spans="1:23" ht="15" thickBot="1" x14ac:dyDescent="0.35">
      <c r="A251" s="5" t="s">
        <v>398</v>
      </c>
      <c r="B251" s="9">
        <v>45758</v>
      </c>
      <c r="C251" s="6" t="s">
        <v>138</v>
      </c>
      <c r="D251" s="6" t="s">
        <v>139</v>
      </c>
      <c r="E251" s="6" t="s">
        <v>117</v>
      </c>
      <c r="F251" s="6" t="s">
        <v>118</v>
      </c>
      <c r="G251" s="6" t="s">
        <v>19</v>
      </c>
      <c r="H251" s="39">
        <v>3</v>
      </c>
      <c r="I251" s="6">
        <v>89.99</v>
      </c>
      <c r="J251" s="6" t="s">
        <v>57</v>
      </c>
      <c r="K251" s="6" t="s">
        <v>40</v>
      </c>
      <c r="L251" s="6" t="s">
        <v>27</v>
      </c>
      <c r="M251" s="9">
        <v>44878</v>
      </c>
      <c r="N251" s="35">
        <v>269.97000000000003</v>
      </c>
      <c r="O251" s="6">
        <f ca="1">DATEDIF(Table1[[#This Row],[Customer_Since]],TODAY(),"Y")</f>
        <v>3</v>
      </c>
      <c r="P251" s="12">
        <f ca="1">DATEDIF(Table1[[#This Row],[Date]],TODAY(),"M")</f>
        <v>10</v>
      </c>
      <c r="Q251" s="12" t="str">
        <f ca="1">IF(Table1[[#This Row],[Months_Since_Purchase]]&gt;12,"Inactive","Active")</f>
        <v>Active</v>
      </c>
      <c r="R251" s="14">
        <f>EOMONTH(Table1[[#This Row],[Date]],0)</f>
        <v>45777</v>
      </c>
      <c r="S251" s="13" t="str">
        <f>IF(Table1[[#This Row],[Total_Amount]]&gt;=700,"High",
 IF(Table1[[#This Row],[Total_Amount]]&gt;=300,"Medium","Low"))</f>
        <v>Low</v>
      </c>
      <c r="T251" s="13">
        <f>Table1[[#This Row],[Total_Amount]]*(1-$AC$8)*0.3</f>
        <v>58.895913988797318</v>
      </c>
      <c r="U251" s="13">
        <f t="shared" si="6"/>
        <v>2649.83</v>
      </c>
      <c r="V251" s="13" t="str">
        <f>IF(Table1[[#This Row],[Customer_Total_Spend]]&gt;5000,"Yes","No")</f>
        <v>No</v>
      </c>
      <c r="W251" s="13">
        <f t="shared" si="7"/>
        <v>34</v>
      </c>
    </row>
    <row r="252" spans="1:23" x14ac:dyDescent="0.3">
      <c r="A252" s="5"/>
      <c r="B252" s="9"/>
      <c r="C252" s="6"/>
      <c r="D252" s="6"/>
      <c r="E252" s="6"/>
      <c r="F252" s="6"/>
      <c r="G252" s="6"/>
      <c r="H252" s="17"/>
      <c r="I252" s="6"/>
      <c r="J252" s="6"/>
      <c r="K252" s="6"/>
      <c r="L252" s="6"/>
      <c r="M252" s="9"/>
      <c r="N252" s="40"/>
      <c r="O252" s="17">
        <f ca="1">SUBTOTAL(101,Table1[Customer Tenure])</f>
        <v>2.9079999999999999</v>
      </c>
      <c r="P252" s="18"/>
      <c r="Q252" s="18"/>
      <c r="R252" s="18"/>
      <c r="S252" s="18"/>
      <c r="T252" s="18">
        <f>SUBTOTAL(101,Table1[Profit])</f>
        <v>200.00000000000006</v>
      </c>
      <c r="U252" s="32"/>
      <c r="V252" s="32"/>
      <c r="W252" s="32"/>
    </row>
  </sheetData>
  <scenarios current="0" sqref="Z18">
    <scenario name="No Discount" locked="1" count="1" user="TEJ JASANI" comment="Created by TEJ JASANI on 27-02-2026_x000a_Modified by TEJ JASANI on 27-02-2026">
      <inputCells r="AC8" val="0" numFmtId="9"/>
    </scenario>
    <scenario name="10% Discount" locked="1" count="1" user="TEJ JASANI" comment="Created by TEJ JASANI on 27-02-2026">
      <inputCells r="AC8" val="0.1" numFmtId="9"/>
    </scenario>
    <scenario name="20% Discount" locked="1" count="1" user="TEJ JASANI" comment="Created by TEJ JASANI on 27-02-2026">
      <inputCells r="AC8" val="0.2" numFmtId="9"/>
    </scenario>
  </scenarios>
  <conditionalFormatting sqref="N1:N1048576">
    <cfRule type="iconSet" priority="1">
      <iconSet iconSet="3Arrows">
        <cfvo type="percent" val="0"/>
        <cfvo type="num" val="300"/>
        <cfvo type="num" val="700"/>
      </iconSet>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Scenario Summary </vt:lpstr>
      <vt:lpstr>Regression</vt:lpstr>
      <vt:lpstr>Pivot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JASANI</dc:creator>
  <cp:lastModifiedBy>TEJ JASANI</cp:lastModifiedBy>
  <dcterms:created xsi:type="dcterms:W3CDTF">2026-02-26T11:47:21Z</dcterms:created>
  <dcterms:modified xsi:type="dcterms:W3CDTF">2026-03-04T09:50:01Z</dcterms:modified>
</cp:coreProperties>
</file>